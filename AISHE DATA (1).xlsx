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1386" documentId="11_B07E6107C7BBEF8ABADB47C6DA3FFE65967AD3E9" xr6:coauthVersionLast="47" xr6:coauthVersionMax="47" xr10:uidLastSave="{BE43AF8D-B0BA-480B-BB9D-47D24F376AE3}"/>
  <bookViews>
    <workbookView xWindow="120" yWindow="60" windowWidth="15255" windowHeight="8700" firstSheet="5" activeTab="6" xr2:uid="{00000000-000D-0000-FFFF-FFFF00000000}"/>
  </bookViews>
  <sheets>
    <sheet name="Total_Uni_Clgs" sheetId="2" r:id="rId1"/>
    <sheet name="Total_unistudents_enrollment" sheetId="3" r:id="rId2"/>
    <sheet name="Total_uni_teachers" sheetId="4" r:id="rId3"/>
    <sheet name="Uni_GER GPI PTR" sheetId="5" r:id="rId4"/>
    <sheet name="All_India_uni_Calculation" sheetId="6" r:id="rId5"/>
    <sheet name="Employment_rate" sheetId="8" r:id="rId6"/>
    <sheet name="Unemployment_Rate" sheetId="9" r:id="rId7"/>
    <sheet name="All India emp unemp rate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2" l="1"/>
  <c r="E78" i="2"/>
  <c r="I95" i="2"/>
  <c r="E95" i="2"/>
  <c r="I109" i="2"/>
  <c r="E109" i="2"/>
  <c r="E41" i="2"/>
  <c r="I41" i="2"/>
  <c r="I58" i="2"/>
  <c r="E72" i="2"/>
  <c r="E58" i="2"/>
  <c r="I72" i="2"/>
  <c r="I21" i="2"/>
  <c r="E21" i="2"/>
  <c r="I35" i="2"/>
  <c r="E35" i="2"/>
  <c r="I4" i="2"/>
  <c r="E4" i="2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78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41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" i="3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78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41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" i="4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10" i="2"/>
  <c r="I111" i="2"/>
  <c r="I112" i="2"/>
  <c r="I113" i="2"/>
  <c r="I7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3" i="2"/>
  <c r="I74" i="2"/>
  <c r="I75" i="2"/>
  <c r="I76" i="2"/>
  <c r="I42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6" i="2"/>
  <c r="I37" i="2"/>
  <c r="I38" i="2"/>
  <c r="I39" i="2"/>
  <c r="I5" i="2"/>
  <c r="E113" i="2"/>
  <c r="E112" i="2"/>
  <c r="E111" i="2"/>
  <c r="E110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6" i="2"/>
  <c r="E75" i="2"/>
  <c r="E74" i="2"/>
  <c r="E73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39" i="2"/>
  <c r="E38" i="2"/>
  <c r="E37" i="2"/>
  <c r="E36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<sst xmlns="http://schemas.openxmlformats.org/spreadsheetml/2006/main" count="1366" uniqueCount="94">
  <si>
    <t>Total Universities</t>
  </si>
  <si>
    <t>Total Colleges</t>
  </si>
  <si>
    <t>Year</t>
  </si>
  <si>
    <t>States/UTs</t>
  </si>
  <si>
    <t>Private Uni</t>
  </si>
  <si>
    <t>Gov. Uni</t>
  </si>
  <si>
    <t>Total Uni</t>
  </si>
  <si>
    <t>Private  Clg</t>
  </si>
  <si>
    <t>Gov. Clg</t>
  </si>
  <si>
    <t>Total Clg</t>
  </si>
  <si>
    <t>2021-22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</si>
  <si>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</si>
  <si>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</si>
  <si>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</si>
  <si>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</si>
  <si>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</si>
  <si>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</si>
  <si>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</si>
  <si>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</si>
  <si>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</si>
  <si>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</si>
  <si>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</si>
  <si>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</si>
  <si>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</si>
  <si>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</si>
  <si>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</si>
  <si>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</si>
  <si>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</si>
  <si>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</si>
  <si>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</si>
  <si>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</si>
  <si>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</si>
  <si>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</si>
  <si>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</si>
  <si>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</si>
  <si>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</si>
  <si>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</si>
  <si>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</si>
  <si>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</si>
  <si>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</si>
  <si>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</si>
  <si>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</si>
  <si>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</si>
  <si>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</si>
  <si>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</si>
  <si>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</si>
  <si>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</si>
  <si>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2022-23</t>
  </si>
  <si>
    <t>2023-24</t>
  </si>
  <si>
    <t>Total University Enrollment</t>
  </si>
  <si>
    <t>Total College Enrollment</t>
  </si>
  <si>
    <t>Male Uni Students</t>
  </si>
  <si>
    <t>Female Uni Students</t>
  </si>
  <si>
    <t>Total Uni Students</t>
  </si>
  <si>
    <t>Male Clg Students</t>
  </si>
  <si>
    <t>Female Clg Students</t>
  </si>
  <si>
    <t>Total Clg Students</t>
  </si>
  <si>
    <t>Total Teachers</t>
  </si>
  <si>
    <t>State/UTs</t>
  </si>
  <si>
    <t>Male Teachers</t>
  </si>
  <si>
    <t>Female Teachers</t>
  </si>
  <si>
    <t>Total GER &amp; GPI &amp; PTR</t>
  </si>
  <si>
    <t>Male GER</t>
  </si>
  <si>
    <t>Female GER</t>
  </si>
  <si>
    <t>Total GER</t>
  </si>
  <si>
    <t>GPI</t>
  </si>
  <si>
    <t>PTR</t>
  </si>
  <si>
    <t>All India Calculation</t>
  </si>
  <si>
    <t>Total Uni/Clgs</t>
  </si>
  <si>
    <t>Total_Students_Enrollment</t>
  </si>
  <si>
    <t>Total_Teachers</t>
  </si>
  <si>
    <t>Total Male GER</t>
  </si>
  <si>
    <t>Total Female GER</t>
  </si>
  <si>
    <t>Total GPI</t>
  </si>
  <si>
    <t>Total PTR</t>
  </si>
  <si>
    <t>Employment Rate</t>
  </si>
  <si>
    <t xml:space="preserve">Male </t>
  </si>
  <si>
    <t xml:space="preserve">Female </t>
  </si>
  <si>
    <t xml:space="preserve">Total </t>
  </si>
  <si>
    <t xml:space="preserve">Andaman &amp; Nicobar </t>
  </si>
  <si>
    <t>Chattisgarh</t>
  </si>
  <si>
    <t>Dadra &amp; Nagar Haveli &amp; Daman&amp; Diu</t>
  </si>
  <si>
    <t>Jammu &amp; Kashmir</t>
  </si>
  <si>
    <t>Tamilnadu</t>
  </si>
  <si>
    <t>uttar Pradesh</t>
  </si>
  <si>
    <t>Uttrakhand</t>
  </si>
  <si>
    <t>Unemployment Rate</t>
  </si>
  <si>
    <t xml:space="preserve">Andaman and Nicobar Islands </t>
  </si>
  <si>
    <t>Male Emp Rate</t>
  </si>
  <si>
    <t>Female Emp Rate</t>
  </si>
  <si>
    <t>Total Emp Rate</t>
  </si>
  <si>
    <t>Male Unemp Rate</t>
  </si>
  <si>
    <t>Female Unemp Rate</t>
  </si>
  <si>
    <t>Total Unemp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</si>
</sst>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i/>
      <sz val="12"/>
      <color rgb="FF000000"/>
      <name val="Times New Roman"/>
    </font>
    <font>
      <b/>
      <sz val="12"/>
      <color theme="1"/>
      <name val="Times New Roman"/>
    </font>
    <font>
      <b/>
      <u/>
      <sz val="14"/>
      <color rgb="FF000000"/>
      <name val="Cambria"/>
      <scheme val="major"/>
    </font>
    <font>
      <sz val="10"/>
      <name val="Arial"/>
    </font>
    <font>
      <sz val="10"/>
      <color theme="1"/>
      <name val="Arial"/>
    </font>
    <font>
      <sz val="10"/>
      <color indexed="8"/>
      <name val="Arial"/>
    </font>
    <font>
      <sz val="10"/>
      <color rgb="FF000000"/>
      <name val="Arial"/>
    </font>
    <font>
      <sz val="10"/>
      <color theme="1"/>
      <name val="Calibri"/>
      <family val="2"/>
      <scheme val="minor"/>
    </font>
    <font>
      <sz val="11"/>
      <color theme="1"/>
      <name val="Arial"/>
    </font>
    <font>
      <sz val="11"/>
      <name val="Times New Roman"/>
      <family val="1"/>
    </font>
    <font>
      <b/>
      <sz val="12"/>
      <name val="Times New Roman"/>
    </font>
    <font>
      <b/>
      <u/>
      <sz val="14"/>
      <color theme="1"/>
      <name val="Cambria"/>
      <scheme val="major"/>
    </font>
    <font>
      <sz val="10"/>
      <name val="Times New Roman"/>
      <family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6" fillId="0" borderId="8" xfId="0" applyFont="1" applyFill="1" applyBorder="1" applyAlignment="1"/>
    <xf numFmtId="0" fontId="7" fillId="0" borderId="8" xfId="0" applyFont="1" applyBorder="1"/>
    <xf numFmtId="0" fontId="6" fillId="0" borderId="1" xfId="0" applyFont="1" applyFill="1" applyBorder="1" applyAlignment="1"/>
    <xf numFmtId="0" fontId="7" fillId="0" borderId="1" xfId="0" applyFont="1" applyBorder="1"/>
    <xf numFmtId="0" fontId="7" fillId="0" borderId="0" xfId="0" applyFont="1"/>
    <xf numFmtId="0" fontId="6" fillId="0" borderId="1" xfId="1" quotePrefix="1" applyFont="1" applyBorder="1"/>
    <xf numFmtId="0" fontId="6" fillId="0" borderId="1" xfId="1" applyFont="1" applyFill="1" applyBorder="1"/>
    <xf numFmtId="0" fontId="8" fillId="2" borderId="1" xfId="1" applyFont="1" applyFill="1" applyBorder="1" applyAlignment="1">
      <alignment horizontal="right" vertical="center" wrapText="1"/>
    </xf>
    <xf numFmtId="0" fontId="6" fillId="0" borderId="1" xfId="1" applyFont="1" applyBorder="1" applyAlignment="1">
      <alignment horizontal="right" vertical="center"/>
    </xf>
    <xf numFmtId="0" fontId="6" fillId="0" borderId="1" xfId="1" applyFont="1" applyBorder="1"/>
    <xf numFmtId="3" fontId="6" fillId="0" borderId="1" xfId="0" applyNumberFormat="1" applyFont="1" applyFill="1" applyBorder="1" applyAlignment="1"/>
    <xf numFmtId="3" fontId="7" fillId="0" borderId="1" xfId="0" applyNumberFormat="1" applyFont="1" applyBorder="1"/>
    <xf numFmtId="0" fontId="4" fillId="5" borderId="1" xfId="0" applyFont="1" applyFill="1" applyBorder="1"/>
    <xf numFmtId="0" fontId="4" fillId="5" borderId="2" xfId="0" applyFont="1" applyFill="1" applyBorder="1"/>
    <xf numFmtId="0" fontId="2" fillId="5" borderId="1" xfId="1" applyFont="1" applyFill="1" applyBorder="1"/>
    <xf numFmtId="0" fontId="2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wrapText="1"/>
    </xf>
    <xf numFmtId="0" fontId="6" fillId="0" borderId="1" xfId="1" applyFont="1" applyBorder="1" applyAlignment="1">
      <alignment vertical="center"/>
    </xf>
    <xf numFmtId="0" fontId="8" fillId="2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10" fillId="0" borderId="0" xfId="0" applyFont="1"/>
    <xf numFmtId="3" fontId="9" fillId="4" borderId="1" xfId="0" applyNumberFormat="1" applyFont="1" applyFill="1" applyBorder="1" applyAlignment="1">
      <alignment wrapText="1"/>
    </xf>
    <xf numFmtId="0" fontId="6" fillId="0" borderId="2" xfId="0" applyFont="1" applyFill="1" applyBorder="1" applyAlignment="1"/>
    <xf numFmtId="0" fontId="2" fillId="5" borderId="9" xfId="1" applyFont="1" applyFill="1" applyBorder="1"/>
    <xf numFmtId="0" fontId="2" fillId="5" borderId="9" xfId="1" applyFont="1" applyFill="1" applyBorder="1" applyAlignment="1">
      <alignment horizontal="center" vertical="center"/>
    </xf>
    <xf numFmtId="0" fontId="11" fillId="0" borderId="0" xfId="0" applyFont="1"/>
    <xf numFmtId="0" fontId="4" fillId="5" borderId="3" xfId="0" applyFont="1" applyFill="1" applyBorder="1"/>
    <xf numFmtId="0" fontId="4" fillId="5" borderId="9" xfId="0" applyFont="1" applyFill="1" applyBorder="1"/>
    <xf numFmtId="0" fontId="6" fillId="4" borderId="1" xfId="0" applyFont="1" applyFill="1" applyBorder="1" applyAlignment="1"/>
    <xf numFmtId="0" fontId="12" fillId="0" borderId="10" xfId="0" applyFont="1" applyFill="1" applyBorder="1" applyAlignment="1"/>
    <xf numFmtId="0" fontId="12" fillId="0" borderId="11" xfId="0" applyFont="1" applyFill="1" applyBorder="1" applyAlignment="1"/>
    <xf numFmtId="0" fontId="6" fillId="0" borderId="8" xfId="1" quotePrefix="1" applyFont="1" applyBorder="1"/>
    <xf numFmtId="0" fontId="12" fillId="0" borderId="1" xfId="0" applyFont="1" applyFill="1" applyBorder="1" applyAlignment="1"/>
    <xf numFmtId="0" fontId="6" fillId="0" borderId="2" xfId="1" applyFont="1" applyBorder="1" applyAlignment="1">
      <alignment vertical="center"/>
    </xf>
    <xf numFmtId="0" fontId="8" fillId="2" borderId="2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left" vertical="center"/>
    </xf>
    <xf numFmtId="0" fontId="6" fillId="0" borderId="10" xfId="0" applyFont="1" applyFill="1" applyBorder="1" applyAlignment="1"/>
    <xf numFmtId="0" fontId="13" fillId="5" borderId="1" xfId="1" applyFont="1" applyFill="1" applyBorder="1" applyAlignment="1">
      <alignment horizontal="center" vertical="center"/>
    </xf>
    <xf numFmtId="0" fontId="6" fillId="0" borderId="12" xfId="0" applyFont="1" applyFill="1" applyBorder="1" applyAlignment="1"/>
    <xf numFmtId="0" fontId="9" fillId="0" borderId="10" xfId="0" applyFont="1" applyFill="1" applyBorder="1" applyAlignment="1"/>
    <xf numFmtId="0" fontId="9" fillId="0" borderId="11" xfId="0" applyFont="1" applyFill="1" applyBorder="1" applyAlignment="1"/>
    <xf numFmtId="0" fontId="9" fillId="0" borderId="12" xfId="0" applyFont="1" applyFill="1" applyBorder="1" applyAlignment="1"/>
    <xf numFmtId="0" fontId="9" fillId="0" borderId="13" xfId="0" applyFont="1" applyFill="1" applyBorder="1" applyAlignment="1"/>
    <xf numFmtId="0" fontId="9" fillId="0" borderId="1" xfId="0" applyFont="1" applyFill="1" applyBorder="1" applyAlignment="1"/>
    <xf numFmtId="0" fontId="0" fillId="0" borderId="1" xfId="0" applyBorder="1"/>
    <xf numFmtId="0" fontId="6" fillId="6" borderId="1" xfId="1" applyFont="1" applyFill="1" applyBorder="1" applyAlignment="1">
      <alignment horizontal="right" vertical="center"/>
    </xf>
    <xf numFmtId="3" fontId="0" fillId="0" borderId="0" xfId="0" applyNumberFormat="1"/>
    <xf numFmtId="0" fontId="15" fillId="0" borderId="1" xfId="0" applyFont="1" applyFill="1" applyBorder="1" applyAlignment="1"/>
    <xf numFmtId="0" fontId="15" fillId="0" borderId="10" xfId="0" applyFont="1" applyFill="1" applyBorder="1" applyAlignment="1"/>
    <xf numFmtId="0" fontId="15" fillId="0" borderId="12" xfId="0" applyFont="1" applyFill="1" applyBorder="1" applyAlignment="1"/>
    <xf numFmtId="0" fontId="16" fillId="0" borderId="10" xfId="0" applyFont="1" applyFill="1" applyBorder="1" applyAlignment="1"/>
    <xf numFmtId="0" fontId="16" fillId="0" borderId="11" xfId="0" applyFont="1" applyFill="1" applyBorder="1" applyAlignment="1"/>
    <xf numFmtId="0" fontId="16" fillId="0" borderId="12" xfId="0" applyFont="1" applyFill="1" applyBorder="1" applyAlignment="1"/>
    <xf numFmtId="0" fontId="16" fillId="0" borderId="13" xfId="0" applyFont="1" applyFill="1" applyBorder="1" applyAlignment="1"/>
    <xf numFmtId="0" fontId="16" fillId="0" borderId="0" xfId="0" applyFont="1" applyFill="1" applyBorder="1" applyAlignment="1"/>
    <xf numFmtId="0" fontId="16" fillId="0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topLeftCell="A78" workbookViewId="0">
      <selection activeCell="B4" sqref="B4"/>
    </sheetView>
  </sheetViews>
  <sheetFormatPr defaultRowHeight="15"/>
  <cols>
    <col min="1" max="1" width="8.28515625" bestFit="1" customWidth="1"/>
    <col min="2" max="2" width="43" bestFit="1" customWidth="1"/>
    <col min="3" max="3" width="13.140625" bestFit="1" customWidth="1"/>
    <col min="4" max="4" width="10.7109375" bestFit="1" customWidth="1"/>
    <col min="5" max="5" width="11.28515625" bestFit="1" customWidth="1"/>
    <col min="6" max="6" width="4" customWidth="1"/>
    <col min="7" max="7" width="12.85546875" bestFit="1" customWidth="1"/>
    <col min="9" max="9" width="10.28515625" bestFit="1" customWidth="1"/>
  </cols>
  <sheetData>
    <row r="1" spans="1:9">
      <c r="A1" s="61" t="s">
        <v>0</v>
      </c>
      <c r="B1" s="62"/>
      <c r="C1" s="62"/>
      <c r="D1" s="62"/>
      <c r="E1" s="62"/>
      <c r="G1" s="63" t="s">
        <v>1</v>
      </c>
      <c r="H1" s="64"/>
      <c r="I1" s="65"/>
    </row>
    <row r="2" spans="1:9">
      <c r="A2" s="62"/>
      <c r="B2" s="62"/>
      <c r="C2" s="62"/>
      <c r="D2" s="62"/>
      <c r="E2" s="62"/>
      <c r="G2" s="66"/>
      <c r="H2" s="67"/>
      <c r="I2" s="68"/>
    </row>
    <row r="3" spans="1:9" ht="15.75">
      <c r="A3" s="17" t="s">
        <v>2</v>
      </c>
      <c r="B3" s="16" t="s">
        <v>3</v>
      </c>
      <c r="C3" s="15" t="s">
        <v>4</v>
      </c>
      <c r="D3" s="16" t="s">
        <v>5</v>
      </c>
      <c r="E3" s="16" t="s">
        <v>6</v>
      </c>
      <c r="G3" s="13" t="s">
        <v>7</v>
      </c>
      <c r="H3" s="14" t="s">
        <v>8</v>
      </c>
      <c r="I3" s="13" t="s">
        <v>9</v>
      </c>
    </row>
    <row r="4" spans="1:9">
      <c r="A4" s="22" t="s">
        <v>10</v>
      </c>
      <c r="B4" s="27" t="s">
        <v>11</v>
      </c>
      <c r="C4" s="4">
        <v>0</v>
      </c>
      <c r="D4" s="4">
        <v>0</v>
      </c>
      <c r="E4" s="4">
        <f>SUM(C4:D4)</f>
        <v>0</v>
      </c>
      <c r="F4" s="5"/>
      <c r="G4" s="37">
        <v>0</v>
      </c>
      <c r="H4" s="37">
        <v>9</v>
      </c>
      <c r="I4" s="4">
        <f>SUM(G4:H4)</f>
        <v>9</v>
      </c>
    </row>
    <row r="5" spans="1:9">
      <c r="A5" s="22" t="s">
        <v>10</v>
      </c>
      <c r="B5" s="19" t="s">
        <v>12</v>
      </c>
      <c r="C5" s="2">
        <v>9</v>
      </c>
      <c r="D5" s="36">
        <v>38</v>
      </c>
      <c r="E5" s="2">
        <f>SUM(C5:D5)</f>
        <v>47</v>
      </c>
      <c r="F5" s="5"/>
      <c r="G5" s="1">
        <v>2266</v>
      </c>
      <c r="H5" s="1">
        <v>316</v>
      </c>
      <c r="I5" s="2">
        <f>SUM(G5:H5)</f>
        <v>2582</v>
      </c>
    </row>
    <row r="6" spans="1:9">
      <c r="A6" s="22" t="s">
        <v>10</v>
      </c>
      <c r="B6" s="19" t="s">
        <v>13</v>
      </c>
      <c r="C6" s="4">
        <v>7</v>
      </c>
      <c r="D6" s="6">
        <v>3</v>
      </c>
      <c r="E6" s="4">
        <f>SUM(C6:D6)</f>
        <v>10</v>
      </c>
      <c r="F6" s="5"/>
      <c r="G6" s="3">
        <v>19</v>
      </c>
      <c r="H6" s="3">
        <v>24</v>
      </c>
      <c r="I6" s="4">
        <f t="shared" ref="I6:I39" si="0">SUM(G6:H6)</f>
        <v>43</v>
      </c>
    </row>
    <row r="7" spans="1:9">
      <c r="A7" s="22" t="s">
        <v>10</v>
      </c>
      <c r="B7" s="19" t="s">
        <v>14</v>
      </c>
      <c r="C7" s="4">
        <v>6</v>
      </c>
      <c r="D7" s="6">
        <v>24</v>
      </c>
      <c r="E7" s="4">
        <f>SUM(C7:D7)</f>
        <v>30</v>
      </c>
      <c r="F7" s="5"/>
      <c r="G7" s="3">
        <v>109</v>
      </c>
      <c r="H7" s="3">
        <v>444</v>
      </c>
      <c r="I7" s="4">
        <f t="shared" si="0"/>
        <v>553</v>
      </c>
    </row>
    <row r="8" spans="1:9">
      <c r="A8" s="22" t="s">
        <v>10</v>
      </c>
      <c r="B8" s="19" t="s">
        <v>15</v>
      </c>
      <c r="C8" s="4">
        <v>7</v>
      </c>
      <c r="D8" s="7">
        <v>30</v>
      </c>
      <c r="E8" s="4">
        <f t="shared" ref="E8:E39" si="1">SUM(C8:D8)</f>
        <v>37</v>
      </c>
      <c r="F8" s="5"/>
      <c r="G8" s="3">
        <v>532</v>
      </c>
      <c r="H8" s="3">
        <v>540</v>
      </c>
      <c r="I8" s="4">
        <f t="shared" si="0"/>
        <v>1072</v>
      </c>
    </row>
    <row r="9" spans="1:9">
      <c r="A9" s="22" t="s">
        <v>10</v>
      </c>
      <c r="B9" s="19" t="s">
        <v>16</v>
      </c>
      <c r="C9" s="4">
        <v>0</v>
      </c>
      <c r="D9" s="7">
        <v>3</v>
      </c>
      <c r="E9" s="4">
        <f t="shared" si="1"/>
        <v>3</v>
      </c>
      <c r="F9" s="5"/>
      <c r="G9" s="3">
        <v>11</v>
      </c>
      <c r="H9" s="3">
        <v>15</v>
      </c>
      <c r="I9" s="4">
        <f t="shared" si="0"/>
        <v>26</v>
      </c>
    </row>
    <row r="10" spans="1:9">
      <c r="A10" s="22" t="s">
        <v>10</v>
      </c>
      <c r="B10" s="20" t="s">
        <v>17</v>
      </c>
      <c r="C10" s="4">
        <v>14</v>
      </c>
      <c r="D10" s="7">
        <v>20</v>
      </c>
      <c r="E10" s="4">
        <f t="shared" si="1"/>
        <v>34</v>
      </c>
      <c r="F10" s="5"/>
      <c r="G10" s="3">
        <v>473</v>
      </c>
      <c r="H10" s="3">
        <v>422</v>
      </c>
      <c r="I10" s="4">
        <f t="shared" si="0"/>
        <v>895</v>
      </c>
    </row>
    <row r="11" spans="1:9">
      <c r="A11" s="22" t="s">
        <v>10</v>
      </c>
      <c r="B11" s="19" t="s">
        <v>18</v>
      </c>
      <c r="C11" s="4">
        <v>1</v>
      </c>
      <c r="D11" s="7">
        <v>29</v>
      </c>
      <c r="E11" s="4">
        <f t="shared" si="1"/>
        <v>30</v>
      </c>
      <c r="F11" s="5"/>
      <c r="G11" s="3">
        <v>72</v>
      </c>
      <c r="H11" s="3">
        <v>99</v>
      </c>
      <c r="I11" s="4">
        <f t="shared" si="0"/>
        <v>171</v>
      </c>
    </row>
    <row r="12" spans="1:9">
      <c r="A12" s="22" t="s">
        <v>10</v>
      </c>
      <c r="B12" s="19" t="s">
        <v>19</v>
      </c>
      <c r="C12" s="4">
        <v>0</v>
      </c>
      <c r="D12" s="7">
        <v>3</v>
      </c>
      <c r="E12" s="4">
        <f t="shared" si="1"/>
        <v>3</v>
      </c>
      <c r="F12" s="5"/>
      <c r="G12" s="3">
        <v>41</v>
      </c>
      <c r="H12" s="3">
        <v>21</v>
      </c>
      <c r="I12" s="4">
        <f t="shared" si="0"/>
        <v>62</v>
      </c>
    </row>
    <row r="13" spans="1:9">
      <c r="A13" s="22" t="s">
        <v>10</v>
      </c>
      <c r="B13" s="19" t="s">
        <v>20</v>
      </c>
      <c r="C13" s="4">
        <v>52</v>
      </c>
      <c r="D13" s="7">
        <v>39</v>
      </c>
      <c r="E13" s="4">
        <f t="shared" si="1"/>
        <v>91</v>
      </c>
      <c r="F13" s="5"/>
      <c r="G13" s="3">
        <v>1954</v>
      </c>
      <c r="H13" s="3">
        <v>420</v>
      </c>
      <c r="I13" s="4">
        <f t="shared" si="0"/>
        <v>2374</v>
      </c>
    </row>
    <row r="14" spans="1:9">
      <c r="A14" s="22" t="s">
        <v>10</v>
      </c>
      <c r="B14" s="19" t="s">
        <v>21</v>
      </c>
      <c r="C14" s="4">
        <v>27</v>
      </c>
      <c r="D14" s="7">
        <v>29</v>
      </c>
      <c r="E14" s="4">
        <f t="shared" si="1"/>
        <v>56</v>
      </c>
      <c r="F14" s="5"/>
      <c r="G14" s="3">
        <v>836</v>
      </c>
      <c r="H14" s="3">
        <v>253</v>
      </c>
      <c r="I14" s="4">
        <f t="shared" si="0"/>
        <v>1089</v>
      </c>
    </row>
    <row r="15" spans="1:9">
      <c r="A15" s="22" t="s">
        <v>10</v>
      </c>
      <c r="B15" s="19" t="s">
        <v>22</v>
      </c>
      <c r="C15" s="4">
        <v>17</v>
      </c>
      <c r="D15" s="7">
        <v>13</v>
      </c>
      <c r="E15" s="4">
        <f t="shared" si="1"/>
        <v>30</v>
      </c>
      <c r="F15" s="5"/>
      <c r="G15" s="3">
        <v>184</v>
      </c>
      <c r="H15" s="3">
        <v>164</v>
      </c>
      <c r="I15" s="4">
        <f t="shared" si="0"/>
        <v>348</v>
      </c>
    </row>
    <row r="16" spans="1:9">
      <c r="A16" s="22" t="s">
        <v>10</v>
      </c>
      <c r="B16" s="21" t="s">
        <v>23</v>
      </c>
      <c r="C16" s="4">
        <v>0</v>
      </c>
      <c r="D16" s="7">
        <v>16</v>
      </c>
      <c r="E16" s="4">
        <f t="shared" si="1"/>
        <v>16</v>
      </c>
      <c r="F16" s="5"/>
      <c r="G16" s="3">
        <v>148</v>
      </c>
      <c r="H16" s="3">
        <v>189</v>
      </c>
      <c r="I16" s="4">
        <f t="shared" si="0"/>
        <v>337</v>
      </c>
    </row>
    <row r="17" spans="1:9">
      <c r="A17" s="22" t="s">
        <v>10</v>
      </c>
      <c r="B17" s="19" t="s">
        <v>24</v>
      </c>
      <c r="C17" s="4">
        <v>16</v>
      </c>
      <c r="D17" s="7">
        <v>17</v>
      </c>
      <c r="E17" s="4">
        <f t="shared" si="1"/>
        <v>33</v>
      </c>
      <c r="F17" s="5"/>
      <c r="G17" s="3">
        <v>201</v>
      </c>
      <c r="H17" s="3">
        <v>164</v>
      </c>
      <c r="I17" s="4">
        <f t="shared" si="0"/>
        <v>365</v>
      </c>
    </row>
    <row r="18" spans="1:9">
      <c r="A18" s="22" t="s">
        <v>10</v>
      </c>
      <c r="B18" s="19" t="s">
        <v>25</v>
      </c>
      <c r="C18" s="4">
        <v>32</v>
      </c>
      <c r="D18" s="7">
        <v>43</v>
      </c>
      <c r="E18" s="4">
        <f t="shared" si="1"/>
        <v>75</v>
      </c>
      <c r="F18" s="5"/>
      <c r="G18" s="3">
        <v>3579</v>
      </c>
      <c r="H18" s="3">
        <v>704</v>
      </c>
      <c r="I18" s="4">
        <f t="shared" si="0"/>
        <v>4283</v>
      </c>
    </row>
    <row r="19" spans="1:9">
      <c r="A19" s="22" t="s">
        <v>10</v>
      </c>
      <c r="B19" s="19" t="s">
        <v>26</v>
      </c>
      <c r="C19" s="4">
        <v>1</v>
      </c>
      <c r="D19" s="7">
        <v>24</v>
      </c>
      <c r="E19" s="4">
        <f t="shared" si="1"/>
        <v>25</v>
      </c>
      <c r="F19" s="5"/>
      <c r="G19" s="3">
        <v>1052</v>
      </c>
      <c r="H19" s="3">
        <v>280</v>
      </c>
      <c r="I19" s="4">
        <f t="shared" si="0"/>
        <v>1332</v>
      </c>
    </row>
    <row r="20" spans="1:9">
      <c r="A20" s="22" t="s">
        <v>10</v>
      </c>
      <c r="B20" s="19" t="s">
        <v>27</v>
      </c>
      <c r="C20" s="4">
        <v>0</v>
      </c>
      <c r="D20" s="7">
        <v>2</v>
      </c>
      <c r="E20" s="4">
        <f t="shared" si="1"/>
        <v>2</v>
      </c>
      <c r="F20" s="5"/>
      <c r="G20" s="3">
        <v>0</v>
      </c>
      <c r="H20" s="3">
        <v>6</v>
      </c>
      <c r="I20" s="4">
        <f t="shared" si="0"/>
        <v>6</v>
      </c>
    </row>
    <row r="21" spans="1:9">
      <c r="A21" s="22" t="s">
        <v>10</v>
      </c>
      <c r="B21" s="27" t="s">
        <v>28</v>
      </c>
      <c r="C21" s="4">
        <v>0</v>
      </c>
      <c r="D21" s="7">
        <v>0</v>
      </c>
      <c r="E21" s="4">
        <f>SUM(C21:D21)</f>
        <v>0</v>
      </c>
      <c r="F21" s="5"/>
      <c r="G21" s="3">
        <v>0</v>
      </c>
      <c r="H21" s="3">
        <v>0</v>
      </c>
      <c r="I21" s="4">
        <f>SUM(G21:H21)</f>
        <v>0</v>
      </c>
    </row>
    <row r="22" spans="1:9">
      <c r="A22" s="22" t="s">
        <v>10</v>
      </c>
      <c r="B22" s="19" t="s">
        <v>29</v>
      </c>
      <c r="C22" s="4">
        <v>40</v>
      </c>
      <c r="D22" s="7">
        <v>37</v>
      </c>
      <c r="E22" s="4">
        <f t="shared" si="1"/>
        <v>77</v>
      </c>
      <c r="F22" s="5"/>
      <c r="G22" s="3">
        <v>1691</v>
      </c>
      <c r="H22" s="3">
        <v>773</v>
      </c>
      <c r="I22" s="4">
        <f t="shared" si="0"/>
        <v>2464</v>
      </c>
    </row>
    <row r="23" spans="1:9">
      <c r="A23" s="22" t="s">
        <v>10</v>
      </c>
      <c r="B23" s="19" t="s">
        <v>30</v>
      </c>
      <c r="C23" s="4">
        <v>33</v>
      </c>
      <c r="D23" s="7">
        <v>41</v>
      </c>
      <c r="E23" s="4">
        <f t="shared" si="1"/>
        <v>74</v>
      </c>
      <c r="F23" s="5"/>
      <c r="G23" s="3">
        <v>4143</v>
      </c>
      <c r="H23" s="3">
        <v>542</v>
      </c>
      <c r="I23" s="4">
        <f t="shared" si="0"/>
        <v>4685</v>
      </c>
    </row>
    <row r="24" spans="1:9">
      <c r="A24" s="22" t="s">
        <v>10</v>
      </c>
      <c r="B24" s="19" t="s">
        <v>31</v>
      </c>
      <c r="C24" s="4">
        <v>2</v>
      </c>
      <c r="D24" s="7">
        <v>8</v>
      </c>
      <c r="E24" s="4">
        <f t="shared" si="1"/>
        <v>10</v>
      </c>
      <c r="F24" s="5"/>
      <c r="G24" s="3">
        <v>45</v>
      </c>
      <c r="H24" s="3">
        <v>58</v>
      </c>
      <c r="I24" s="4">
        <f t="shared" si="0"/>
        <v>103</v>
      </c>
    </row>
    <row r="25" spans="1:9">
      <c r="A25" s="22" t="s">
        <v>10</v>
      </c>
      <c r="B25" s="19" t="s">
        <v>32</v>
      </c>
      <c r="C25" s="4">
        <v>8</v>
      </c>
      <c r="D25" s="7">
        <v>3</v>
      </c>
      <c r="E25" s="4">
        <f t="shared" si="1"/>
        <v>11</v>
      </c>
      <c r="F25" s="5"/>
      <c r="G25" s="3">
        <v>40</v>
      </c>
      <c r="H25" s="3">
        <v>29</v>
      </c>
      <c r="I25" s="4">
        <f t="shared" si="0"/>
        <v>69</v>
      </c>
    </row>
    <row r="26" spans="1:9">
      <c r="A26" s="22" t="s">
        <v>10</v>
      </c>
      <c r="B26" s="19" t="s">
        <v>33</v>
      </c>
      <c r="C26" s="4">
        <v>1</v>
      </c>
      <c r="D26" s="7">
        <v>2</v>
      </c>
      <c r="E26" s="4">
        <f t="shared" si="1"/>
        <v>3</v>
      </c>
      <c r="F26" s="5"/>
      <c r="G26" s="3">
        <v>9</v>
      </c>
      <c r="H26" s="3">
        <v>31</v>
      </c>
      <c r="I26" s="4">
        <f t="shared" si="0"/>
        <v>40</v>
      </c>
    </row>
    <row r="27" spans="1:9">
      <c r="A27" s="22" t="s">
        <v>10</v>
      </c>
      <c r="B27" s="19" t="s">
        <v>34</v>
      </c>
      <c r="C27" s="4">
        <v>4</v>
      </c>
      <c r="D27" s="7">
        <v>2</v>
      </c>
      <c r="E27" s="4">
        <f t="shared" si="1"/>
        <v>6</v>
      </c>
      <c r="F27" s="5"/>
      <c r="G27" s="3">
        <v>47</v>
      </c>
      <c r="H27" s="3">
        <v>21</v>
      </c>
      <c r="I27" s="4">
        <f t="shared" si="0"/>
        <v>68</v>
      </c>
    </row>
    <row r="28" spans="1:9">
      <c r="A28" s="22" t="s">
        <v>10</v>
      </c>
      <c r="B28" s="19" t="s">
        <v>35</v>
      </c>
      <c r="C28" s="4">
        <v>11</v>
      </c>
      <c r="D28" s="7">
        <v>26</v>
      </c>
      <c r="E28" s="4">
        <f t="shared" si="1"/>
        <v>37</v>
      </c>
      <c r="F28" s="5"/>
      <c r="G28" s="3">
        <v>897</v>
      </c>
      <c r="H28" s="3">
        <v>392</v>
      </c>
      <c r="I28" s="4">
        <f t="shared" si="0"/>
        <v>1289</v>
      </c>
    </row>
    <row r="29" spans="1:9">
      <c r="A29" s="22" t="s">
        <v>10</v>
      </c>
      <c r="B29" s="19" t="s">
        <v>36</v>
      </c>
      <c r="C29" s="4">
        <v>1</v>
      </c>
      <c r="D29" s="7">
        <v>3</v>
      </c>
      <c r="E29" s="4">
        <f t="shared" si="1"/>
        <v>4</v>
      </c>
      <c r="F29" s="5"/>
      <c r="G29" s="3">
        <v>44</v>
      </c>
      <c r="H29" s="3">
        <v>24</v>
      </c>
      <c r="I29" s="4">
        <f t="shared" si="0"/>
        <v>68</v>
      </c>
    </row>
    <row r="30" spans="1:9">
      <c r="A30" s="22" t="s">
        <v>10</v>
      </c>
      <c r="B30" s="19" t="s">
        <v>37</v>
      </c>
      <c r="C30" s="4">
        <v>19</v>
      </c>
      <c r="D30" s="7">
        <v>21</v>
      </c>
      <c r="E30" s="4">
        <f t="shared" si="1"/>
        <v>40</v>
      </c>
      <c r="F30" s="5"/>
      <c r="G30" s="3">
        <v>832</v>
      </c>
      <c r="H30" s="3">
        <v>205</v>
      </c>
      <c r="I30" s="4">
        <f t="shared" si="0"/>
        <v>1037</v>
      </c>
    </row>
    <row r="31" spans="1:9">
      <c r="A31" s="22" t="s">
        <v>10</v>
      </c>
      <c r="B31" s="19" t="s">
        <v>38</v>
      </c>
      <c r="C31" s="4">
        <v>56</v>
      </c>
      <c r="D31" s="7">
        <v>34</v>
      </c>
      <c r="E31" s="4">
        <f t="shared" si="1"/>
        <v>90</v>
      </c>
      <c r="F31" s="5"/>
      <c r="G31" s="3">
        <v>2723</v>
      </c>
      <c r="H31" s="3">
        <v>798</v>
      </c>
      <c r="I31" s="4">
        <f t="shared" si="0"/>
        <v>3521</v>
      </c>
    </row>
    <row r="32" spans="1:9">
      <c r="A32" s="22" t="s">
        <v>10</v>
      </c>
      <c r="B32" s="19" t="s">
        <v>39</v>
      </c>
      <c r="C32" s="4">
        <v>6</v>
      </c>
      <c r="D32" s="7">
        <v>3</v>
      </c>
      <c r="E32" s="4">
        <f t="shared" si="1"/>
        <v>9</v>
      </c>
      <c r="F32" s="5"/>
      <c r="G32" s="3">
        <v>4</v>
      </c>
      <c r="H32" s="3">
        <v>16</v>
      </c>
      <c r="I32" s="4">
        <f t="shared" si="0"/>
        <v>20</v>
      </c>
    </row>
    <row r="33" spans="1:9">
      <c r="A33" s="22" t="s">
        <v>10</v>
      </c>
      <c r="B33" s="19" t="s">
        <v>40</v>
      </c>
      <c r="C33" s="4">
        <v>29</v>
      </c>
      <c r="D33" s="7">
        <v>33</v>
      </c>
      <c r="E33" s="4">
        <f t="shared" si="1"/>
        <v>62</v>
      </c>
      <c r="F33" s="5"/>
      <c r="G33" s="3">
        <v>2393</v>
      </c>
      <c r="H33" s="3">
        <v>414</v>
      </c>
      <c r="I33" s="4">
        <f t="shared" si="0"/>
        <v>2807</v>
      </c>
    </row>
    <row r="34" spans="1:9">
      <c r="A34" s="22" t="s">
        <v>10</v>
      </c>
      <c r="B34" s="19" t="s">
        <v>41</v>
      </c>
      <c r="C34" s="4">
        <v>6</v>
      </c>
      <c r="D34" s="7">
        <v>25</v>
      </c>
      <c r="E34" s="4">
        <f t="shared" si="1"/>
        <v>31</v>
      </c>
      <c r="F34" s="5"/>
      <c r="G34" s="3">
        <v>1657</v>
      </c>
      <c r="H34" s="3">
        <v>283</v>
      </c>
      <c r="I34" s="4">
        <f t="shared" si="0"/>
        <v>1940</v>
      </c>
    </row>
    <row r="35" spans="1:9">
      <c r="A35" s="22" t="s">
        <v>10</v>
      </c>
      <c r="B35" s="27" t="s">
        <v>42</v>
      </c>
      <c r="C35" s="4">
        <v>0</v>
      </c>
      <c r="D35" s="7">
        <v>0</v>
      </c>
      <c r="E35" s="4">
        <f>SUM(C35:D35)</f>
        <v>0</v>
      </c>
      <c r="F35" s="5"/>
      <c r="G35" s="34">
        <v>9</v>
      </c>
      <c r="H35" s="35">
        <v>10</v>
      </c>
      <c r="I35" s="4">
        <f>SUM(G35:H35)</f>
        <v>19</v>
      </c>
    </row>
    <row r="36" spans="1:9">
      <c r="A36" s="22" t="s">
        <v>10</v>
      </c>
      <c r="B36" s="19" t="s">
        <v>43</v>
      </c>
      <c r="C36" s="4">
        <v>1</v>
      </c>
      <c r="D36" s="7">
        <v>4</v>
      </c>
      <c r="E36" s="4">
        <f t="shared" si="1"/>
        <v>5</v>
      </c>
      <c r="F36" s="5"/>
      <c r="G36" s="3">
        <v>11</v>
      </c>
      <c r="H36" s="3">
        <v>43</v>
      </c>
      <c r="I36" s="4">
        <f t="shared" si="0"/>
        <v>54</v>
      </c>
    </row>
    <row r="37" spans="1:9">
      <c r="A37" s="22" t="s">
        <v>10</v>
      </c>
      <c r="B37" s="19" t="s">
        <v>44</v>
      </c>
      <c r="C37" s="4">
        <v>35</v>
      </c>
      <c r="D37" s="7">
        <v>56</v>
      </c>
      <c r="E37" s="4">
        <f t="shared" si="1"/>
        <v>91</v>
      </c>
      <c r="F37" s="5"/>
      <c r="G37" s="3">
        <v>6360</v>
      </c>
      <c r="H37" s="3">
        <v>822</v>
      </c>
      <c r="I37" s="4">
        <f t="shared" si="0"/>
        <v>7182</v>
      </c>
    </row>
    <row r="38" spans="1:9">
      <c r="A38" s="22" t="s">
        <v>10</v>
      </c>
      <c r="B38" s="20" t="s">
        <v>45</v>
      </c>
      <c r="C38" s="4">
        <v>20</v>
      </c>
      <c r="D38" s="7">
        <v>18</v>
      </c>
      <c r="E38" s="4">
        <f t="shared" si="1"/>
        <v>38</v>
      </c>
      <c r="F38" s="5"/>
      <c r="G38" s="3">
        <v>240</v>
      </c>
      <c r="H38" s="3">
        <v>162</v>
      </c>
      <c r="I38" s="4">
        <f t="shared" si="0"/>
        <v>402</v>
      </c>
    </row>
    <row r="39" spans="1:9">
      <c r="A39" s="22" t="s">
        <v>10</v>
      </c>
      <c r="B39" s="19" t="s">
        <v>46</v>
      </c>
      <c r="C39" s="4">
        <v>12</v>
      </c>
      <c r="D39" s="7">
        <v>46</v>
      </c>
      <c r="E39" s="4">
        <f t="shared" si="1"/>
        <v>58</v>
      </c>
      <c r="F39" s="5"/>
      <c r="G39" s="3">
        <v>1010</v>
      </c>
      <c r="H39" s="3">
        <v>500</v>
      </c>
      <c r="I39" s="4">
        <f t="shared" si="0"/>
        <v>1510</v>
      </c>
    </row>
    <row r="40" spans="1:9">
      <c r="A40" s="23"/>
      <c r="B40" s="5"/>
      <c r="C40" s="5"/>
      <c r="D40" s="5"/>
      <c r="E40" s="5"/>
      <c r="F40" s="5"/>
      <c r="G40" s="5"/>
      <c r="H40" s="5"/>
      <c r="I40" s="5"/>
    </row>
    <row r="41" spans="1:9">
      <c r="A41" s="22" t="s">
        <v>47</v>
      </c>
      <c r="B41" s="27" t="s">
        <v>11</v>
      </c>
      <c r="C41" s="4">
        <v>0</v>
      </c>
      <c r="D41" s="4">
        <v>0</v>
      </c>
      <c r="E41" s="4">
        <f>SUM(C41:D41)</f>
        <v>0</v>
      </c>
      <c r="F41" s="5"/>
      <c r="G41" s="3">
        <v>0</v>
      </c>
      <c r="H41" s="3">
        <v>3</v>
      </c>
      <c r="I41" s="4">
        <f>SUM(G41:H41)</f>
        <v>3</v>
      </c>
    </row>
    <row r="42" spans="1:9">
      <c r="A42" s="22" t="s">
        <v>47</v>
      </c>
      <c r="B42" s="38" t="s">
        <v>12</v>
      </c>
      <c r="C42" s="8">
        <v>11</v>
      </c>
      <c r="D42" s="8">
        <v>40</v>
      </c>
      <c r="E42" s="8">
        <f>SUM(C42:D42)</f>
        <v>51</v>
      </c>
      <c r="F42" s="5"/>
      <c r="G42" s="3">
        <v>2247</v>
      </c>
      <c r="H42" s="3">
        <v>333</v>
      </c>
      <c r="I42" s="4">
        <f>SUM(G42:H42)</f>
        <v>2580</v>
      </c>
    </row>
    <row r="43" spans="1:9">
      <c r="A43" s="22" t="s">
        <v>47</v>
      </c>
      <c r="B43" s="38" t="s">
        <v>13</v>
      </c>
      <c r="C43" s="9">
        <v>7</v>
      </c>
      <c r="D43" s="9">
        <v>3</v>
      </c>
      <c r="E43" s="9">
        <f>SUM(C43:D43)</f>
        <v>10</v>
      </c>
      <c r="F43" s="5"/>
      <c r="G43" s="3">
        <v>19</v>
      </c>
      <c r="H43" s="3">
        <v>24</v>
      </c>
      <c r="I43" s="4">
        <f t="shared" ref="I43:I76" si="2">SUM(G43:H43)</f>
        <v>43</v>
      </c>
    </row>
    <row r="44" spans="1:9">
      <c r="A44" s="22" t="s">
        <v>47</v>
      </c>
      <c r="B44" s="38" t="s">
        <v>14</v>
      </c>
      <c r="C44" s="9">
        <v>6</v>
      </c>
      <c r="D44" s="9">
        <v>25</v>
      </c>
      <c r="E44" s="9">
        <f>SUM(C44:D44)</f>
        <v>31</v>
      </c>
      <c r="F44" s="5"/>
      <c r="G44" s="3">
        <v>168</v>
      </c>
      <c r="H44" s="3">
        <v>482</v>
      </c>
      <c r="I44" s="4">
        <f t="shared" si="2"/>
        <v>650</v>
      </c>
    </row>
    <row r="45" spans="1:9">
      <c r="A45" s="22" t="s">
        <v>47</v>
      </c>
      <c r="B45" s="38" t="s">
        <v>15</v>
      </c>
      <c r="C45" s="9">
        <v>7</v>
      </c>
      <c r="D45" s="9">
        <v>30</v>
      </c>
      <c r="E45" s="9">
        <f t="shared" ref="E45:E76" si="3">SUM(C45:D45)</f>
        <v>37</v>
      </c>
      <c r="F45" s="5"/>
      <c r="G45" s="3">
        <v>620</v>
      </c>
      <c r="H45" s="3">
        <v>542</v>
      </c>
      <c r="I45" s="4">
        <f t="shared" si="2"/>
        <v>1162</v>
      </c>
    </row>
    <row r="46" spans="1:9">
      <c r="A46" s="22" t="s">
        <v>47</v>
      </c>
      <c r="B46" s="38" t="s">
        <v>16</v>
      </c>
      <c r="C46" s="9">
        <v>0</v>
      </c>
      <c r="D46" s="9">
        <v>3</v>
      </c>
      <c r="E46" s="9">
        <f t="shared" si="3"/>
        <v>3</v>
      </c>
      <c r="F46" s="5"/>
      <c r="G46" s="3">
        <v>11</v>
      </c>
      <c r="H46" s="3">
        <v>15</v>
      </c>
      <c r="I46" s="4">
        <f t="shared" si="2"/>
        <v>26</v>
      </c>
    </row>
    <row r="47" spans="1:9">
      <c r="A47" s="22" t="s">
        <v>47</v>
      </c>
      <c r="B47" s="39" t="s">
        <v>17</v>
      </c>
      <c r="C47" s="9">
        <v>14</v>
      </c>
      <c r="D47" s="9">
        <v>20</v>
      </c>
      <c r="E47" s="9">
        <f t="shared" si="3"/>
        <v>34</v>
      </c>
      <c r="F47" s="5"/>
      <c r="G47" s="3">
        <v>498</v>
      </c>
      <c r="H47" s="3">
        <v>429</v>
      </c>
      <c r="I47" s="4">
        <f t="shared" si="2"/>
        <v>927</v>
      </c>
    </row>
    <row r="48" spans="1:9">
      <c r="A48" s="22" t="s">
        <v>47</v>
      </c>
      <c r="B48" s="38" t="s">
        <v>18</v>
      </c>
      <c r="C48" s="9">
        <v>1</v>
      </c>
      <c r="D48" s="9">
        <v>29</v>
      </c>
      <c r="E48" s="9">
        <f t="shared" si="3"/>
        <v>30</v>
      </c>
      <c r="F48" s="5"/>
      <c r="G48" s="3">
        <v>70</v>
      </c>
      <c r="H48" s="3">
        <v>97</v>
      </c>
      <c r="I48" s="4">
        <f t="shared" si="2"/>
        <v>167</v>
      </c>
    </row>
    <row r="49" spans="1:9">
      <c r="A49" s="22" t="s">
        <v>47</v>
      </c>
      <c r="B49" s="38" t="s">
        <v>19</v>
      </c>
      <c r="C49" s="9">
        <v>1</v>
      </c>
      <c r="D49" s="9">
        <v>3</v>
      </c>
      <c r="E49" s="9">
        <f t="shared" si="3"/>
        <v>4</v>
      </c>
      <c r="F49" s="5"/>
      <c r="G49" s="3">
        <v>39</v>
      </c>
      <c r="H49" s="3">
        <v>24</v>
      </c>
      <c r="I49" s="4">
        <f t="shared" si="2"/>
        <v>63</v>
      </c>
    </row>
    <row r="50" spans="1:9">
      <c r="A50" s="22" t="s">
        <v>47</v>
      </c>
      <c r="B50" s="38" t="s">
        <v>20</v>
      </c>
      <c r="C50" s="9">
        <v>61</v>
      </c>
      <c r="D50" s="9">
        <v>41</v>
      </c>
      <c r="E50" s="9">
        <f t="shared" si="3"/>
        <v>102</v>
      </c>
      <c r="F50" s="5"/>
      <c r="G50" s="3">
        <v>2015</v>
      </c>
      <c r="H50" s="3">
        <v>434</v>
      </c>
      <c r="I50" s="4">
        <f t="shared" si="2"/>
        <v>2449</v>
      </c>
    </row>
    <row r="51" spans="1:9">
      <c r="A51" s="22" t="s">
        <v>47</v>
      </c>
      <c r="B51" s="38" t="s">
        <v>21</v>
      </c>
      <c r="C51" s="9">
        <v>28</v>
      </c>
      <c r="D51" s="9">
        <v>29</v>
      </c>
      <c r="E51" s="9">
        <f t="shared" si="3"/>
        <v>57</v>
      </c>
      <c r="F51" s="5"/>
      <c r="G51" s="3">
        <v>870</v>
      </c>
      <c r="H51" s="3">
        <v>252</v>
      </c>
      <c r="I51" s="4">
        <f t="shared" si="2"/>
        <v>1122</v>
      </c>
    </row>
    <row r="52" spans="1:9">
      <c r="A52" s="22" t="s">
        <v>47</v>
      </c>
      <c r="B52" s="38" t="s">
        <v>22</v>
      </c>
      <c r="C52" s="9">
        <v>16</v>
      </c>
      <c r="D52" s="9">
        <v>13</v>
      </c>
      <c r="E52" s="9">
        <f t="shared" si="3"/>
        <v>29</v>
      </c>
      <c r="F52" s="5"/>
      <c r="G52" s="3">
        <v>172</v>
      </c>
      <c r="H52" s="3">
        <v>167</v>
      </c>
      <c r="I52" s="4">
        <f t="shared" si="2"/>
        <v>339</v>
      </c>
    </row>
    <row r="53" spans="1:9">
      <c r="A53" s="22" t="s">
        <v>47</v>
      </c>
      <c r="B53" s="40" t="s">
        <v>23</v>
      </c>
      <c r="C53" s="9">
        <v>0</v>
      </c>
      <c r="D53" s="9">
        <v>16</v>
      </c>
      <c r="E53" s="9">
        <f t="shared" si="3"/>
        <v>16</v>
      </c>
      <c r="F53" s="5"/>
      <c r="G53" s="3">
        <v>142</v>
      </c>
      <c r="H53" s="3">
        <v>186</v>
      </c>
      <c r="I53" s="4">
        <f t="shared" si="2"/>
        <v>328</v>
      </c>
    </row>
    <row r="54" spans="1:9">
      <c r="A54" s="22" t="s">
        <v>47</v>
      </c>
      <c r="B54" s="38" t="s">
        <v>24</v>
      </c>
      <c r="C54" s="9">
        <v>16</v>
      </c>
      <c r="D54" s="9">
        <v>18</v>
      </c>
      <c r="E54" s="9">
        <f t="shared" si="3"/>
        <v>34</v>
      </c>
      <c r="F54" s="5"/>
      <c r="G54" s="3">
        <v>261</v>
      </c>
      <c r="H54" s="3">
        <v>149</v>
      </c>
      <c r="I54" s="4">
        <f t="shared" si="2"/>
        <v>410</v>
      </c>
    </row>
    <row r="55" spans="1:9">
      <c r="A55" s="22" t="s">
        <v>47</v>
      </c>
      <c r="B55" s="38" t="s">
        <v>25</v>
      </c>
      <c r="C55" s="9">
        <v>35</v>
      </c>
      <c r="D55" s="9">
        <v>44</v>
      </c>
      <c r="E55" s="9">
        <f t="shared" si="3"/>
        <v>79</v>
      </c>
      <c r="F55" s="5"/>
      <c r="G55" s="3">
        <v>3519</v>
      </c>
      <c r="H55" s="3">
        <v>701</v>
      </c>
      <c r="I55" s="4">
        <f t="shared" si="2"/>
        <v>4220</v>
      </c>
    </row>
    <row r="56" spans="1:9">
      <c r="A56" s="22" t="s">
        <v>47</v>
      </c>
      <c r="B56" s="38" t="s">
        <v>26</v>
      </c>
      <c r="C56" s="9">
        <v>1</v>
      </c>
      <c r="D56" s="9">
        <v>24</v>
      </c>
      <c r="E56" s="9">
        <f t="shared" si="3"/>
        <v>25</v>
      </c>
      <c r="F56" s="5"/>
      <c r="G56" s="3">
        <v>1110</v>
      </c>
      <c r="H56" s="3">
        <v>288</v>
      </c>
      <c r="I56" s="4">
        <f t="shared" si="2"/>
        <v>1398</v>
      </c>
    </row>
    <row r="57" spans="1:9">
      <c r="A57" s="22" t="s">
        <v>47</v>
      </c>
      <c r="B57" s="38" t="s">
        <v>27</v>
      </c>
      <c r="C57" s="9">
        <v>0</v>
      </c>
      <c r="D57" s="9">
        <v>2</v>
      </c>
      <c r="E57" s="9">
        <f t="shared" si="3"/>
        <v>2</v>
      </c>
      <c r="F57" s="5"/>
      <c r="G57" s="3">
        <v>0</v>
      </c>
      <c r="H57" s="3">
        <v>6</v>
      </c>
      <c r="I57" s="4">
        <f t="shared" si="2"/>
        <v>6</v>
      </c>
    </row>
    <row r="58" spans="1:9">
      <c r="A58" s="22" t="s">
        <v>47</v>
      </c>
      <c r="B58" s="27" t="s">
        <v>28</v>
      </c>
      <c r="C58" s="9">
        <v>0</v>
      </c>
      <c r="D58" s="9">
        <v>0</v>
      </c>
      <c r="E58" s="9">
        <f>SUM(C58:D58)</f>
        <v>0</v>
      </c>
      <c r="F58" s="5"/>
      <c r="G58" s="3">
        <v>0</v>
      </c>
      <c r="H58" s="3">
        <v>4</v>
      </c>
      <c r="I58" s="4">
        <f>SUM(G58:H58)</f>
        <v>4</v>
      </c>
    </row>
    <row r="59" spans="1:9">
      <c r="A59" s="22" t="s">
        <v>47</v>
      </c>
      <c r="B59" s="38" t="s">
        <v>29</v>
      </c>
      <c r="C59" s="9">
        <v>41</v>
      </c>
      <c r="D59" s="9">
        <v>37</v>
      </c>
      <c r="E59" s="9">
        <f t="shared" si="3"/>
        <v>78</v>
      </c>
      <c r="F59" s="5"/>
      <c r="G59" s="3">
        <v>1747</v>
      </c>
      <c r="H59" s="3">
        <v>781</v>
      </c>
      <c r="I59" s="4">
        <f t="shared" si="2"/>
        <v>2528</v>
      </c>
    </row>
    <row r="60" spans="1:9">
      <c r="A60" s="22" t="s">
        <v>47</v>
      </c>
      <c r="B60" s="38" t="s">
        <v>30</v>
      </c>
      <c r="C60" s="9">
        <v>32</v>
      </c>
      <c r="D60" s="9">
        <v>46</v>
      </c>
      <c r="E60" s="50">
        <f t="shared" si="3"/>
        <v>78</v>
      </c>
      <c r="F60" s="5"/>
      <c r="G60" s="3">
        <v>4585</v>
      </c>
      <c r="H60" s="3">
        <v>476</v>
      </c>
      <c r="I60" s="4">
        <f t="shared" si="2"/>
        <v>5061</v>
      </c>
    </row>
    <row r="61" spans="1:9">
      <c r="A61" s="22" t="s">
        <v>47</v>
      </c>
      <c r="B61" s="38" t="s">
        <v>31</v>
      </c>
      <c r="C61" s="9">
        <v>4</v>
      </c>
      <c r="D61" s="9">
        <v>8</v>
      </c>
      <c r="E61" s="9">
        <f t="shared" si="3"/>
        <v>12</v>
      </c>
      <c r="F61" s="5"/>
      <c r="G61" s="3">
        <v>47</v>
      </c>
      <c r="H61" s="3">
        <v>59</v>
      </c>
      <c r="I61" s="4">
        <f t="shared" si="2"/>
        <v>106</v>
      </c>
    </row>
    <row r="62" spans="1:9">
      <c r="A62" s="22" t="s">
        <v>47</v>
      </c>
      <c r="B62" s="38" t="s">
        <v>32</v>
      </c>
      <c r="C62" s="9">
        <v>8</v>
      </c>
      <c r="D62" s="9">
        <v>3</v>
      </c>
      <c r="E62" s="9">
        <f t="shared" si="3"/>
        <v>11</v>
      </c>
      <c r="F62" s="5"/>
      <c r="G62" s="3">
        <v>59</v>
      </c>
      <c r="H62" s="3">
        <v>16</v>
      </c>
      <c r="I62" s="4">
        <f t="shared" si="2"/>
        <v>75</v>
      </c>
    </row>
    <row r="63" spans="1:9">
      <c r="A63" s="22" t="s">
        <v>47</v>
      </c>
      <c r="B63" s="38" t="s">
        <v>33</v>
      </c>
      <c r="C63" s="9">
        <v>1</v>
      </c>
      <c r="D63" s="9">
        <v>2</v>
      </c>
      <c r="E63" s="9">
        <f t="shared" si="3"/>
        <v>3</v>
      </c>
      <c r="F63" s="5"/>
      <c r="G63" s="3">
        <v>9</v>
      </c>
      <c r="H63" s="3">
        <v>31</v>
      </c>
      <c r="I63" s="4">
        <f t="shared" si="2"/>
        <v>40</v>
      </c>
    </row>
    <row r="64" spans="1:9">
      <c r="A64" s="22" t="s">
        <v>47</v>
      </c>
      <c r="B64" s="38" t="s">
        <v>34</v>
      </c>
      <c r="C64" s="9">
        <v>4</v>
      </c>
      <c r="D64" s="9">
        <v>2</v>
      </c>
      <c r="E64" s="9">
        <f t="shared" si="3"/>
        <v>6</v>
      </c>
      <c r="F64" s="5"/>
      <c r="G64" s="3">
        <v>48</v>
      </c>
      <c r="H64" s="3">
        <v>21</v>
      </c>
      <c r="I64" s="4">
        <f t="shared" si="2"/>
        <v>69</v>
      </c>
    </row>
    <row r="65" spans="1:9">
      <c r="A65" s="22" t="s">
        <v>47</v>
      </c>
      <c r="B65" s="38" t="s">
        <v>35</v>
      </c>
      <c r="C65" s="9">
        <v>11</v>
      </c>
      <c r="D65" s="9">
        <v>28</v>
      </c>
      <c r="E65" s="9">
        <f t="shared" si="3"/>
        <v>39</v>
      </c>
      <c r="F65" s="5"/>
      <c r="G65" s="3">
        <v>965</v>
      </c>
      <c r="H65" s="3">
        <v>394</v>
      </c>
      <c r="I65" s="4">
        <f t="shared" si="2"/>
        <v>1359</v>
      </c>
    </row>
    <row r="66" spans="1:9">
      <c r="A66" s="22" t="s">
        <v>47</v>
      </c>
      <c r="B66" s="38" t="s">
        <v>36</v>
      </c>
      <c r="C66" s="9">
        <v>1</v>
      </c>
      <c r="D66" s="9">
        <v>4</v>
      </c>
      <c r="E66" s="50">
        <f t="shared" si="3"/>
        <v>5</v>
      </c>
      <c r="F66" s="5"/>
      <c r="G66" s="3">
        <v>48</v>
      </c>
      <c r="H66" s="3">
        <v>24</v>
      </c>
      <c r="I66" s="4">
        <f t="shared" si="2"/>
        <v>72</v>
      </c>
    </row>
    <row r="67" spans="1:9">
      <c r="A67" s="22" t="s">
        <v>47</v>
      </c>
      <c r="B67" s="38" t="s">
        <v>37</v>
      </c>
      <c r="C67" s="9">
        <v>19</v>
      </c>
      <c r="D67" s="9">
        <v>21</v>
      </c>
      <c r="E67" s="50">
        <f t="shared" si="3"/>
        <v>40</v>
      </c>
      <c r="F67" s="5"/>
      <c r="G67" s="3">
        <v>831</v>
      </c>
      <c r="H67" s="3">
        <v>203</v>
      </c>
      <c r="I67" s="4">
        <f t="shared" si="2"/>
        <v>1034</v>
      </c>
    </row>
    <row r="68" spans="1:9">
      <c r="A68" s="22" t="s">
        <v>47</v>
      </c>
      <c r="B68" s="38" t="s">
        <v>38</v>
      </c>
      <c r="C68" s="9">
        <v>56</v>
      </c>
      <c r="D68" s="9">
        <v>35</v>
      </c>
      <c r="E68" s="9">
        <f t="shared" si="3"/>
        <v>91</v>
      </c>
      <c r="F68" s="5"/>
      <c r="G68" s="3">
        <v>2898</v>
      </c>
      <c r="H68" s="3">
        <v>911</v>
      </c>
      <c r="I68" s="4">
        <f t="shared" si="2"/>
        <v>3809</v>
      </c>
    </row>
    <row r="69" spans="1:9">
      <c r="A69" s="22" t="s">
        <v>47</v>
      </c>
      <c r="B69" s="38" t="s">
        <v>39</v>
      </c>
      <c r="C69" s="9">
        <v>8</v>
      </c>
      <c r="D69" s="9">
        <v>3</v>
      </c>
      <c r="E69" s="9">
        <f t="shared" si="3"/>
        <v>11</v>
      </c>
      <c r="F69" s="5"/>
      <c r="G69" s="3">
        <v>5</v>
      </c>
      <c r="H69" s="3">
        <v>16</v>
      </c>
      <c r="I69" s="4">
        <f t="shared" si="2"/>
        <v>21</v>
      </c>
    </row>
    <row r="70" spans="1:9">
      <c r="A70" s="22" t="s">
        <v>47</v>
      </c>
      <c r="B70" s="38" t="s">
        <v>40</v>
      </c>
      <c r="C70" s="9">
        <v>30</v>
      </c>
      <c r="D70" s="9">
        <v>35</v>
      </c>
      <c r="E70" s="50">
        <f t="shared" si="3"/>
        <v>65</v>
      </c>
      <c r="F70" s="5"/>
      <c r="G70" s="3">
        <v>2438</v>
      </c>
      <c r="H70" s="3">
        <v>437</v>
      </c>
      <c r="I70" s="4">
        <f t="shared" si="2"/>
        <v>2875</v>
      </c>
    </row>
    <row r="71" spans="1:9">
      <c r="A71" s="22" t="s">
        <v>47</v>
      </c>
      <c r="B71" s="38" t="s">
        <v>41</v>
      </c>
      <c r="C71" s="9">
        <v>7</v>
      </c>
      <c r="D71" s="9">
        <v>25</v>
      </c>
      <c r="E71" s="9">
        <f t="shared" si="3"/>
        <v>32</v>
      </c>
      <c r="F71" s="5"/>
      <c r="G71" s="3">
        <v>1525</v>
      </c>
      <c r="H71" s="3">
        <v>278</v>
      </c>
      <c r="I71" s="4">
        <f t="shared" si="2"/>
        <v>1803</v>
      </c>
    </row>
    <row r="72" spans="1:9">
      <c r="A72" s="22" t="s">
        <v>47</v>
      </c>
      <c r="B72" s="27" t="s">
        <v>42</v>
      </c>
      <c r="C72" s="9">
        <v>0</v>
      </c>
      <c r="D72" s="9">
        <v>0</v>
      </c>
      <c r="E72" s="9">
        <f>SUM(C72:D72)</f>
        <v>0</v>
      </c>
      <c r="F72" s="5"/>
      <c r="G72" s="3">
        <v>9</v>
      </c>
      <c r="H72" s="3">
        <v>10</v>
      </c>
      <c r="I72" s="4">
        <f>SUM(G72:H72)</f>
        <v>19</v>
      </c>
    </row>
    <row r="73" spans="1:9">
      <c r="A73" s="22" t="s">
        <v>47</v>
      </c>
      <c r="B73" s="38" t="s">
        <v>43</v>
      </c>
      <c r="C73" s="9">
        <v>1</v>
      </c>
      <c r="D73" s="9">
        <v>4</v>
      </c>
      <c r="E73" s="9">
        <f t="shared" si="3"/>
        <v>5</v>
      </c>
      <c r="F73" s="5"/>
      <c r="G73" s="3">
        <v>12</v>
      </c>
      <c r="H73" s="3">
        <v>46</v>
      </c>
      <c r="I73" s="4">
        <f t="shared" si="2"/>
        <v>58</v>
      </c>
    </row>
    <row r="74" spans="1:9">
      <c r="A74" s="22" t="s">
        <v>47</v>
      </c>
      <c r="B74" s="38" t="s">
        <v>44</v>
      </c>
      <c r="C74" s="9">
        <v>36</v>
      </c>
      <c r="D74" s="9">
        <v>58</v>
      </c>
      <c r="E74" s="9">
        <f t="shared" si="3"/>
        <v>94</v>
      </c>
      <c r="F74" s="5"/>
      <c r="G74" s="3">
        <v>6934</v>
      </c>
      <c r="H74" s="3">
        <v>814</v>
      </c>
      <c r="I74" s="4">
        <f t="shared" si="2"/>
        <v>7748</v>
      </c>
    </row>
    <row r="75" spans="1:9">
      <c r="A75" s="22" t="s">
        <v>47</v>
      </c>
      <c r="B75" s="39" t="s">
        <v>45</v>
      </c>
      <c r="C75" s="9">
        <v>22</v>
      </c>
      <c r="D75" s="9">
        <v>18</v>
      </c>
      <c r="E75" s="9">
        <f t="shared" si="3"/>
        <v>40</v>
      </c>
      <c r="F75" s="5"/>
      <c r="G75" s="3">
        <v>238</v>
      </c>
      <c r="H75" s="3">
        <v>149</v>
      </c>
      <c r="I75" s="4">
        <f t="shared" si="2"/>
        <v>387</v>
      </c>
    </row>
    <row r="76" spans="1:9">
      <c r="A76" s="22" t="s">
        <v>47</v>
      </c>
      <c r="B76" s="38" t="s">
        <v>46</v>
      </c>
      <c r="C76" s="9">
        <v>12</v>
      </c>
      <c r="D76" s="9">
        <v>47</v>
      </c>
      <c r="E76" s="9">
        <f t="shared" si="3"/>
        <v>59</v>
      </c>
      <c r="F76" s="5"/>
      <c r="G76" s="3">
        <v>1088</v>
      </c>
      <c r="H76" s="3">
        <v>470</v>
      </c>
      <c r="I76" s="4">
        <f t="shared" si="2"/>
        <v>1558</v>
      </c>
    </row>
    <row r="77" spans="1:9">
      <c r="A77" s="23"/>
      <c r="B77" s="5"/>
      <c r="C77" s="5"/>
      <c r="D77" s="5"/>
      <c r="E77" s="5"/>
      <c r="F77" s="5"/>
      <c r="G77" s="5"/>
      <c r="H77" s="5"/>
      <c r="I77" s="5"/>
    </row>
    <row r="78" spans="1:9">
      <c r="A78" s="22" t="s">
        <v>48</v>
      </c>
      <c r="B78" s="27" t="s">
        <v>11</v>
      </c>
      <c r="C78" s="4">
        <v>0</v>
      </c>
      <c r="D78" s="4">
        <v>0</v>
      </c>
      <c r="E78" s="4">
        <f>SUM(C78:D78)</f>
        <v>0</v>
      </c>
      <c r="F78" s="5"/>
      <c r="G78" s="3">
        <v>0</v>
      </c>
      <c r="H78" s="3">
        <v>3</v>
      </c>
      <c r="I78" s="4">
        <f>SUM(G78:H78)</f>
        <v>3</v>
      </c>
    </row>
    <row r="79" spans="1:9">
      <c r="A79" s="22" t="s">
        <v>48</v>
      </c>
      <c r="B79" s="38" t="s">
        <v>12</v>
      </c>
      <c r="C79" s="10">
        <v>11</v>
      </c>
      <c r="D79" s="4">
        <v>41</v>
      </c>
      <c r="E79" s="4">
        <f>SUM(C79:D79)</f>
        <v>52</v>
      </c>
      <c r="F79" s="5"/>
      <c r="G79" s="11">
        <v>2267</v>
      </c>
      <c r="H79" s="3">
        <v>294</v>
      </c>
      <c r="I79" s="12">
        <f>SUM(G79:H79)</f>
        <v>2561</v>
      </c>
    </row>
    <row r="80" spans="1:9">
      <c r="A80" s="22" t="s">
        <v>48</v>
      </c>
      <c r="B80" s="38" t="s">
        <v>13</v>
      </c>
      <c r="C80" s="10">
        <v>7</v>
      </c>
      <c r="D80" s="4">
        <v>4</v>
      </c>
      <c r="E80" s="4">
        <f>SUM(C80:D80)</f>
        <v>11</v>
      </c>
      <c r="F80" s="5"/>
      <c r="G80" s="3">
        <v>20</v>
      </c>
      <c r="H80" s="3">
        <v>23</v>
      </c>
      <c r="I80" s="12">
        <f t="shared" ref="I80:I113" si="4">SUM(G80:H80)</f>
        <v>43</v>
      </c>
    </row>
    <row r="81" spans="1:9">
      <c r="A81" s="22" t="s">
        <v>48</v>
      </c>
      <c r="B81" s="38" t="s">
        <v>14</v>
      </c>
      <c r="C81" s="10">
        <v>8</v>
      </c>
      <c r="D81" s="4">
        <v>26</v>
      </c>
      <c r="E81" s="4">
        <f>SUM(C81:D81)</f>
        <v>34</v>
      </c>
      <c r="F81" s="5"/>
      <c r="G81" s="3">
        <v>210</v>
      </c>
      <c r="H81" s="3">
        <v>458</v>
      </c>
      <c r="I81" s="12">
        <f t="shared" si="4"/>
        <v>668</v>
      </c>
    </row>
    <row r="82" spans="1:9">
      <c r="A82" s="22" t="s">
        <v>48</v>
      </c>
      <c r="B82" s="38" t="s">
        <v>15</v>
      </c>
      <c r="C82" s="10">
        <v>7</v>
      </c>
      <c r="D82" s="4">
        <v>32</v>
      </c>
      <c r="E82" s="4">
        <f>SUM(C82:D82)</f>
        <v>39</v>
      </c>
      <c r="F82" s="5"/>
      <c r="G82" s="3">
        <v>821</v>
      </c>
      <c r="H82" s="3">
        <v>438</v>
      </c>
      <c r="I82" s="12">
        <f t="shared" si="4"/>
        <v>1259</v>
      </c>
    </row>
    <row r="83" spans="1:9">
      <c r="A83" s="22" t="s">
        <v>48</v>
      </c>
      <c r="B83" s="38" t="s">
        <v>16</v>
      </c>
      <c r="C83" s="10">
        <v>0</v>
      </c>
      <c r="D83" s="4">
        <v>3</v>
      </c>
      <c r="E83" s="4">
        <f t="shared" ref="E83:E89" si="5">SUM(C83:D83)</f>
        <v>3</v>
      </c>
      <c r="F83" s="5"/>
      <c r="G83" s="3">
        <v>10</v>
      </c>
      <c r="H83" s="3">
        <v>15</v>
      </c>
      <c r="I83" s="12">
        <f t="shared" si="4"/>
        <v>25</v>
      </c>
    </row>
    <row r="84" spans="1:9">
      <c r="A84" s="22" t="s">
        <v>48</v>
      </c>
      <c r="B84" s="39" t="s">
        <v>17</v>
      </c>
      <c r="C84" s="10">
        <v>15</v>
      </c>
      <c r="D84" s="4">
        <v>21</v>
      </c>
      <c r="E84" s="4">
        <f t="shared" si="5"/>
        <v>36</v>
      </c>
      <c r="F84" s="5"/>
      <c r="G84" s="3">
        <v>583</v>
      </c>
      <c r="H84" s="3">
        <v>453</v>
      </c>
      <c r="I84" s="12">
        <f t="shared" si="4"/>
        <v>1036</v>
      </c>
    </row>
    <row r="85" spans="1:9">
      <c r="A85" s="22" t="s">
        <v>48</v>
      </c>
      <c r="B85" s="38" t="s">
        <v>18</v>
      </c>
      <c r="C85" s="10">
        <v>2</v>
      </c>
      <c r="D85" s="4">
        <v>29</v>
      </c>
      <c r="E85" s="4">
        <f t="shared" si="5"/>
        <v>31</v>
      </c>
      <c r="F85" s="5"/>
      <c r="G85" s="3">
        <v>71</v>
      </c>
      <c r="H85" s="3">
        <v>96</v>
      </c>
      <c r="I85" s="12">
        <f t="shared" si="4"/>
        <v>167</v>
      </c>
    </row>
    <row r="86" spans="1:9">
      <c r="A86" s="22" t="s">
        <v>48</v>
      </c>
      <c r="B86" s="38" t="s">
        <v>19</v>
      </c>
      <c r="C86" s="10">
        <v>1</v>
      </c>
      <c r="D86" s="4">
        <v>3</v>
      </c>
      <c r="E86" s="4">
        <f t="shared" si="5"/>
        <v>4</v>
      </c>
      <c r="F86" s="5"/>
      <c r="G86" s="3">
        <v>46</v>
      </c>
      <c r="H86" s="3">
        <v>20</v>
      </c>
      <c r="I86" s="12">
        <f t="shared" si="4"/>
        <v>66</v>
      </c>
    </row>
    <row r="87" spans="1:9">
      <c r="A87" s="22" t="s">
        <v>48</v>
      </c>
      <c r="B87" s="38" t="s">
        <v>20</v>
      </c>
      <c r="C87" s="10">
        <v>67</v>
      </c>
      <c r="D87" s="4">
        <v>40</v>
      </c>
      <c r="E87" s="4">
        <f t="shared" si="5"/>
        <v>107</v>
      </c>
      <c r="F87" s="5"/>
      <c r="G87" s="11">
        <v>2214</v>
      </c>
      <c r="H87" s="3">
        <v>307</v>
      </c>
      <c r="I87" s="12">
        <f t="shared" si="4"/>
        <v>2521</v>
      </c>
    </row>
    <row r="88" spans="1:9">
      <c r="A88" s="22" t="s">
        <v>48</v>
      </c>
      <c r="B88" s="38" t="s">
        <v>21</v>
      </c>
      <c r="C88" s="10">
        <v>28</v>
      </c>
      <c r="D88" s="4">
        <v>30</v>
      </c>
      <c r="E88" s="4">
        <f t="shared" si="5"/>
        <v>58</v>
      </c>
      <c r="F88" s="5"/>
      <c r="G88" s="3">
        <v>928</v>
      </c>
      <c r="H88" s="3">
        <v>221</v>
      </c>
      <c r="I88" s="12">
        <f t="shared" si="4"/>
        <v>1149</v>
      </c>
    </row>
    <row r="89" spans="1:9">
      <c r="A89" s="22" t="s">
        <v>48</v>
      </c>
      <c r="B89" s="38" t="s">
        <v>22</v>
      </c>
      <c r="C89" s="10">
        <v>16</v>
      </c>
      <c r="D89" s="4">
        <v>13</v>
      </c>
      <c r="E89" s="4">
        <f t="shared" si="5"/>
        <v>29</v>
      </c>
      <c r="F89" s="5"/>
      <c r="G89" s="3">
        <v>180</v>
      </c>
      <c r="H89" s="3">
        <v>166</v>
      </c>
      <c r="I89" s="12">
        <f t="shared" si="4"/>
        <v>346</v>
      </c>
    </row>
    <row r="90" spans="1:9">
      <c r="A90" s="22" t="s">
        <v>48</v>
      </c>
      <c r="B90" s="40" t="s">
        <v>23</v>
      </c>
      <c r="C90" s="10">
        <v>0</v>
      </c>
      <c r="D90" s="4">
        <v>16</v>
      </c>
      <c r="E90" s="4">
        <f>SUM(C90:D90)</f>
        <v>16</v>
      </c>
      <c r="F90" s="5"/>
      <c r="G90" s="3">
        <v>151</v>
      </c>
      <c r="H90" s="3">
        <v>184</v>
      </c>
      <c r="I90" s="12">
        <f t="shared" si="4"/>
        <v>335</v>
      </c>
    </row>
    <row r="91" spans="1:9">
      <c r="A91" s="22" t="s">
        <v>48</v>
      </c>
      <c r="B91" s="38" t="s">
        <v>24</v>
      </c>
      <c r="C91" s="10">
        <v>19</v>
      </c>
      <c r="D91" s="4">
        <v>19</v>
      </c>
      <c r="E91" s="4">
        <f>SUM(C91:D91)</f>
        <v>38</v>
      </c>
      <c r="F91" s="5"/>
      <c r="G91" s="3">
        <v>284</v>
      </c>
      <c r="H91" s="3">
        <v>150</v>
      </c>
      <c r="I91" s="12">
        <f t="shared" si="4"/>
        <v>434</v>
      </c>
    </row>
    <row r="92" spans="1:9">
      <c r="A92" s="22" t="s">
        <v>48</v>
      </c>
      <c r="B92" s="38" t="s">
        <v>25</v>
      </c>
      <c r="C92" s="10">
        <v>40</v>
      </c>
      <c r="D92" s="4">
        <v>51</v>
      </c>
      <c r="E92" s="4">
        <f>SUM(C92:D92)</f>
        <v>91</v>
      </c>
      <c r="F92" s="5"/>
      <c r="G92" s="11">
        <v>3669</v>
      </c>
      <c r="H92" s="3">
        <v>611</v>
      </c>
      <c r="I92" s="12">
        <f t="shared" si="4"/>
        <v>4280</v>
      </c>
    </row>
    <row r="93" spans="1:9">
      <c r="A93" s="22" t="s">
        <v>48</v>
      </c>
      <c r="B93" s="38" t="s">
        <v>26</v>
      </c>
      <c r="C93" s="10">
        <v>1</v>
      </c>
      <c r="D93" s="4">
        <v>24</v>
      </c>
      <c r="E93" s="4">
        <f>SUM(C93:D93)</f>
        <v>25</v>
      </c>
      <c r="F93" s="5"/>
      <c r="G93" s="11">
        <v>1158</v>
      </c>
      <c r="H93" s="3">
        <v>292</v>
      </c>
      <c r="I93" s="12">
        <f t="shared" si="4"/>
        <v>1450</v>
      </c>
    </row>
    <row r="94" spans="1:9">
      <c r="A94" s="22" t="s">
        <v>48</v>
      </c>
      <c r="B94" s="38" t="s">
        <v>27</v>
      </c>
      <c r="C94" s="10">
        <v>0</v>
      </c>
      <c r="D94" s="4">
        <v>3</v>
      </c>
      <c r="E94" s="4">
        <f t="shared" ref="E94:E113" si="6">SUM(C94:D94)</f>
        <v>3</v>
      </c>
      <c r="F94" s="5"/>
      <c r="G94" s="3">
        <v>0</v>
      </c>
      <c r="H94" s="3">
        <v>6</v>
      </c>
      <c r="I94" s="12">
        <f t="shared" si="4"/>
        <v>6</v>
      </c>
    </row>
    <row r="95" spans="1:9">
      <c r="A95" s="22" t="s">
        <v>48</v>
      </c>
      <c r="B95" s="27" t="s">
        <v>28</v>
      </c>
      <c r="C95" s="10">
        <v>0</v>
      </c>
      <c r="D95" s="4">
        <v>0</v>
      </c>
      <c r="E95" s="4">
        <f>SUM(C95:D95)</f>
        <v>0</v>
      </c>
      <c r="F95" s="5"/>
      <c r="G95" s="3">
        <v>0</v>
      </c>
      <c r="H95" s="3">
        <v>5</v>
      </c>
      <c r="I95" s="12">
        <f>SUM(G95:H95)</f>
        <v>5</v>
      </c>
    </row>
    <row r="96" spans="1:9">
      <c r="A96" s="22" t="s">
        <v>48</v>
      </c>
      <c r="B96" s="38" t="s">
        <v>29</v>
      </c>
      <c r="C96" s="10">
        <v>52</v>
      </c>
      <c r="D96" s="4">
        <v>37</v>
      </c>
      <c r="E96" s="4">
        <f t="shared" si="6"/>
        <v>89</v>
      </c>
      <c r="F96" s="5"/>
      <c r="G96" s="11">
        <v>1971</v>
      </c>
      <c r="H96" s="3">
        <v>688</v>
      </c>
      <c r="I96" s="12">
        <f t="shared" si="4"/>
        <v>2659</v>
      </c>
    </row>
    <row r="97" spans="1:9">
      <c r="A97" s="22" t="s">
        <v>48</v>
      </c>
      <c r="B97" s="38" t="s">
        <v>30</v>
      </c>
      <c r="C97" s="10">
        <v>42</v>
      </c>
      <c r="D97" s="4">
        <v>45</v>
      </c>
      <c r="E97" s="4">
        <f t="shared" si="6"/>
        <v>87</v>
      </c>
      <c r="F97" s="5"/>
      <c r="G97" s="11">
        <v>4984</v>
      </c>
      <c r="H97" s="3">
        <v>317</v>
      </c>
      <c r="I97" s="12">
        <f t="shared" si="4"/>
        <v>5301</v>
      </c>
    </row>
    <row r="98" spans="1:9">
      <c r="A98" s="22" t="s">
        <v>48</v>
      </c>
      <c r="B98" s="38" t="s">
        <v>31</v>
      </c>
      <c r="C98" s="10">
        <v>4</v>
      </c>
      <c r="D98" s="4">
        <v>8</v>
      </c>
      <c r="E98" s="4">
        <f t="shared" si="6"/>
        <v>12</v>
      </c>
      <c r="F98" s="5"/>
      <c r="G98" s="3">
        <v>64</v>
      </c>
      <c r="H98" s="3">
        <v>52</v>
      </c>
      <c r="I98" s="12">
        <f t="shared" si="4"/>
        <v>116</v>
      </c>
    </row>
    <row r="99" spans="1:9">
      <c r="A99" s="22" t="s">
        <v>48</v>
      </c>
      <c r="B99" s="38" t="s">
        <v>32</v>
      </c>
      <c r="C99" s="10">
        <v>8</v>
      </c>
      <c r="D99" s="4">
        <v>4</v>
      </c>
      <c r="E99" s="4">
        <f t="shared" si="6"/>
        <v>12</v>
      </c>
      <c r="F99" s="5"/>
      <c r="G99" s="3">
        <v>65</v>
      </c>
      <c r="H99" s="3">
        <v>13</v>
      </c>
      <c r="I99" s="12">
        <f t="shared" si="4"/>
        <v>78</v>
      </c>
    </row>
    <row r="100" spans="1:9">
      <c r="A100" s="22" t="s">
        <v>48</v>
      </c>
      <c r="B100" s="38" t="s">
        <v>33</v>
      </c>
      <c r="C100" s="10">
        <v>1</v>
      </c>
      <c r="D100" s="4">
        <v>2</v>
      </c>
      <c r="E100" s="4">
        <f t="shared" si="6"/>
        <v>3</v>
      </c>
      <c r="F100" s="5"/>
      <c r="G100" s="3">
        <v>9</v>
      </c>
      <c r="H100" s="3">
        <v>31</v>
      </c>
      <c r="I100" s="12">
        <f t="shared" si="4"/>
        <v>40</v>
      </c>
    </row>
    <row r="101" spans="1:9">
      <c r="A101" s="22" t="s">
        <v>48</v>
      </c>
      <c r="B101" s="38" t="s">
        <v>34</v>
      </c>
      <c r="C101" s="10">
        <v>4</v>
      </c>
      <c r="D101" s="4">
        <v>2</v>
      </c>
      <c r="E101" s="4">
        <f t="shared" si="6"/>
        <v>6</v>
      </c>
      <c r="F101" s="5"/>
      <c r="G101" s="3">
        <v>53</v>
      </c>
      <c r="H101" s="3">
        <v>20</v>
      </c>
      <c r="I101" s="12">
        <f t="shared" si="4"/>
        <v>73</v>
      </c>
    </row>
    <row r="102" spans="1:9">
      <c r="A102" s="22" t="s">
        <v>48</v>
      </c>
      <c r="B102" s="38" t="s">
        <v>35</v>
      </c>
      <c r="C102" s="10">
        <v>13</v>
      </c>
      <c r="D102" s="4">
        <v>31</v>
      </c>
      <c r="E102" s="4">
        <f t="shared" si="6"/>
        <v>44</v>
      </c>
      <c r="F102" s="5"/>
      <c r="G102" s="11">
        <v>1185</v>
      </c>
      <c r="H102" s="3">
        <v>339</v>
      </c>
      <c r="I102" s="12">
        <f t="shared" si="4"/>
        <v>1524</v>
      </c>
    </row>
    <row r="103" spans="1:9">
      <c r="A103" s="22" t="s">
        <v>48</v>
      </c>
      <c r="B103" s="38" t="s">
        <v>36</v>
      </c>
      <c r="C103" s="10">
        <v>1</v>
      </c>
      <c r="D103" s="4">
        <v>4</v>
      </c>
      <c r="E103" s="4">
        <f t="shared" si="6"/>
        <v>5</v>
      </c>
      <c r="F103" s="5"/>
      <c r="G103" s="3">
        <v>52</v>
      </c>
      <c r="H103" s="3">
        <v>26</v>
      </c>
      <c r="I103" s="12">
        <f t="shared" si="4"/>
        <v>78</v>
      </c>
    </row>
    <row r="104" spans="1:9">
      <c r="A104" s="22" t="s">
        <v>48</v>
      </c>
      <c r="B104" s="38" t="s">
        <v>37</v>
      </c>
      <c r="C104" s="10">
        <v>19</v>
      </c>
      <c r="D104" s="4">
        <v>21</v>
      </c>
      <c r="E104" s="4">
        <f t="shared" si="6"/>
        <v>40</v>
      </c>
      <c r="F104" s="5"/>
      <c r="G104" s="3">
        <v>899</v>
      </c>
      <c r="H104" s="3">
        <v>152</v>
      </c>
      <c r="I104" s="12">
        <f t="shared" si="4"/>
        <v>1051</v>
      </c>
    </row>
    <row r="105" spans="1:9">
      <c r="A105" s="22" t="s">
        <v>48</v>
      </c>
      <c r="B105" s="38" t="s">
        <v>38</v>
      </c>
      <c r="C105" s="10">
        <v>57</v>
      </c>
      <c r="D105" s="4">
        <v>36</v>
      </c>
      <c r="E105" s="4">
        <f t="shared" si="6"/>
        <v>93</v>
      </c>
      <c r="F105" s="5"/>
      <c r="G105" s="11">
        <v>3288</v>
      </c>
      <c r="H105" s="3">
        <v>842</v>
      </c>
      <c r="I105" s="12">
        <f t="shared" si="4"/>
        <v>4130</v>
      </c>
    </row>
    <row r="106" spans="1:9">
      <c r="A106" s="22" t="s">
        <v>48</v>
      </c>
      <c r="B106" s="38" t="s">
        <v>39</v>
      </c>
      <c r="C106" s="10">
        <v>8</v>
      </c>
      <c r="D106" s="4">
        <v>3</v>
      </c>
      <c r="E106" s="4">
        <f t="shared" si="6"/>
        <v>11</v>
      </c>
      <c r="F106" s="5"/>
      <c r="G106" s="3">
        <v>5</v>
      </c>
      <c r="H106" s="3">
        <v>17</v>
      </c>
      <c r="I106" s="12">
        <f t="shared" si="4"/>
        <v>22</v>
      </c>
    </row>
    <row r="107" spans="1:9">
      <c r="A107" s="22" t="s">
        <v>48</v>
      </c>
      <c r="B107" s="38" t="s">
        <v>40</v>
      </c>
      <c r="C107" s="10">
        <v>32</v>
      </c>
      <c r="D107" s="4">
        <v>33</v>
      </c>
      <c r="E107" s="4">
        <f t="shared" si="6"/>
        <v>65</v>
      </c>
      <c r="F107" s="5"/>
      <c r="G107" s="11">
        <v>2567</v>
      </c>
      <c r="H107" s="3">
        <v>366</v>
      </c>
      <c r="I107" s="12">
        <f t="shared" si="4"/>
        <v>2933</v>
      </c>
    </row>
    <row r="108" spans="1:9">
      <c r="A108" s="22" t="s">
        <v>48</v>
      </c>
      <c r="B108" s="38" t="s">
        <v>41</v>
      </c>
      <c r="C108" s="10">
        <v>8</v>
      </c>
      <c r="D108" s="4">
        <v>25</v>
      </c>
      <c r="E108" s="4">
        <f t="shared" si="6"/>
        <v>33</v>
      </c>
      <c r="F108" s="5"/>
      <c r="G108" s="11">
        <v>1515</v>
      </c>
      <c r="H108" s="3">
        <v>265</v>
      </c>
      <c r="I108" s="12">
        <f t="shared" si="4"/>
        <v>1780</v>
      </c>
    </row>
    <row r="109" spans="1:9">
      <c r="A109" s="22" t="s">
        <v>48</v>
      </c>
      <c r="B109" s="27" t="s">
        <v>42</v>
      </c>
      <c r="C109" s="10">
        <v>0</v>
      </c>
      <c r="D109" s="4">
        <v>0</v>
      </c>
      <c r="E109" s="4">
        <f>SUM(C109:D109)</f>
        <v>0</v>
      </c>
      <c r="F109" s="5"/>
      <c r="G109" s="3">
        <v>8</v>
      </c>
      <c r="H109" s="3">
        <v>10</v>
      </c>
      <c r="I109" s="12">
        <f>SUM(G109:H109)</f>
        <v>18</v>
      </c>
    </row>
    <row r="110" spans="1:9">
      <c r="A110" s="22" t="s">
        <v>48</v>
      </c>
      <c r="B110" s="38" t="s">
        <v>43</v>
      </c>
      <c r="C110" s="10">
        <v>4</v>
      </c>
      <c r="D110" s="4">
        <v>5</v>
      </c>
      <c r="E110" s="4">
        <f t="shared" si="6"/>
        <v>9</v>
      </c>
      <c r="F110" s="5"/>
      <c r="G110" s="3">
        <v>14</v>
      </c>
      <c r="H110" s="3">
        <v>47</v>
      </c>
      <c r="I110" s="12">
        <f t="shared" si="4"/>
        <v>61</v>
      </c>
    </row>
    <row r="111" spans="1:9">
      <c r="A111" s="22" t="s">
        <v>48</v>
      </c>
      <c r="B111" s="38" t="s">
        <v>44</v>
      </c>
      <c r="C111" s="10">
        <v>45</v>
      </c>
      <c r="D111" s="4">
        <v>58</v>
      </c>
      <c r="E111" s="4">
        <f t="shared" si="6"/>
        <v>103</v>
      </c>
      <c r="F111" s="5"/>
      <c r="G111" s="11">
        <v>7827</v>
      </c>
      <c r="H111" s="3">
        <v>465</v>
      </c>
      <c r="I111" s="12">
        <f t="shared" si="4"/>
        <v>8292</v>
      </c>
    </row>
    <row r="112" spans="1:9">
      <c r="A112" s="22" t="s">
        <v>48</v>
      </c>
      <c r="B112" s="39" t="s">
        <v>45</v>
      </c>
      <c r="C112" s="10">
        <v>24</v>
      </c>
      <c r="D112" s="4">
        <v>17</v>
      </c>
      <c r="E112" s="4">
        <f t="shared" si="6"/>
        <v>41</v>
      </c>
      <c r="F112" s="5"/>
      <c r="G112" s="3">
        <v>244</v>
      </c>
      <c r="H112" s="3">
        <v>138</v>
      </c>
      <c r="I112" s="12">
        <f t="shared" si="4"/>
        <v>382</v>
      </c>
    </row>
    <row r="113" spans="1:9">
      <c r="A113" s="22" t="s">
        <v>48</v>
      </c>
      <c r="B113" s="38" t="s">
        <v>46</v>
      </c>
      <c r="C113" s="10">
        <v>12</v>
      </c>
      <c r="D113" s="4">
        <v>47</v>
      </c>
      <c r="E113" s="4">
        <f t="shared" si="6"/>
        <v>59</v>
      </c>
      <c r="F113" s="5"/>
      <c r="G113" s="11">
        <v>1162</v>
      </c>
      <c r="H113" s="3">
        <v>414</v>
      </c>
      <c r="I113" s="12">
        <f t="shared" si="4"/>
        <v>1576</v>
      </c>
    </row>
  </sheetData>
  <mergeCells count="2">
    <mergeCell ref="A1:E2"/>
    <mergeCell ref="G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6F3E-972D-4E2C-B638-B9DD81C9E62F}">
  <dimension ref="A1:I114"/>
  <sheetViews>
    <sheetView workbookViewId="0">
      <selection activeCell="B36" sqref="B36"/>
    </sheetView>
  </sheetViews>
  <sheetFormatPr defaultRowHeight="15"/>
  <cols>
    <col min="2" max="2" width="43" bestFit="1" customWidth="1"/>
    <col min="3" max="3" width="19.42578125" bestFit="1" customWidth="1"/>
    <col min="4" max="4" width="21.7109375" bestFit="1" customWidth="1"/>
    <col min="5" max="5" width="19.85546875" bestFit="1" customWidth="1"/>
    <col min="7" max="7" width="19.28515625" bestFit="1" customWidth="1"/>
    <col min="8" max="8" width="21.5703125" bestFit="1" customWidth="1"/>
    <col min="9" max="9" width="19.7109375" bestFit="1" customWidth="1"/>
  </cols>
  <sheetData>
    <row r="1" spans="1:9">
      <c r="A1" s="61" t="s">
        <v>49</v>
      </c>
      <c r="B1" s="62"/>
      <c r="C1" s="62"/>
      <c r="D1" s="62"/>
      <c r="E1" s="62"/>
      <c r="G1" s="63" t="s">
        <v>50</v>
      </c>
      <c r="H1" s="64"/>
      <c r="I1" s="65"/>
    </row>
    <row r="2" spans="1:9">
      <c r="A2" s="62"/>
      <c r="B2" s="62"/>
      <c r="C2" s="62"/>
      <c r="D2" s="62"/>
      <c r="E2" s="62"/>
      <c r="G2" s="66"/>
      <c r="H2" s="67"/>
      <c r="I2" s="68"/>
    </row>
    <row r="3" spans="1:9" ht="15.75">
      <c r="A3" s="17" t="s">
        <v>2</v>
      </c>
      <c r="B3" s="16" t="s">
        <v>3</v>
      </c>
      <c r="C3" s="28" t="s">
        <v>51</v>
      </c>
      <c r="D3" s="29" t="s">
        <v>52</v>
      </c>
      <c r="E3" s="29" t="s">
        <v>53</v>
      </c>
      <c r="G3" s="13" t="s">
        <v>54</v>
      </c>
      <c r="H3" s="31" t="s">
        <v>55</v>
      </c>
      <c r="I3" s="32" t="s">
        <v>56</v>
      </c>
    </row>
    <row r="4" spans="1:9">
      <c r="A4" s="22" t="s">
        <v>10</v>
      </c>
      <c r="B4" s="27" t="s">
        <v>11</v>
      </c>
      <c r="C4" s="3">
        <v>2091</v>
      </c>
      <c r="D4" s="3">
        <v>1939</v>
      </c>
      <c r="E4" s="4">
        <f>SUM(C4:D4)</f>
        <v>4030</v>
      </c>
      <c r="G4" s="3">
        <v>3080</v>
      </c>
      <c r="H4" s="3">
        <v>4192</v>
      </c>
      <c r="I4" s="4">
        <f>SUM(G4:H4)</f>
        <v>7272</v>
      </c>
    </row>
    <row r="5" spans="1:9">
      <c r="A5" s="22" t="s">
        <v>10</v>
      </c>
      <c r="B5" s="27" t="s">
        <v>12</v>
      </c>
      <c r="C5" s="3">
        <v>202165</v>
      </c>
      <c r="D5" s="3">
        <v>161796</v>
      </c>
      <c r="E5" s="4">
        <f t="shared" ref="E5:E39" si="0">SUM(C5:D5)</f>
        <v>363961</v>
      </c>
      <c r="G5" s="3">
        <v>754102</v>
      </c>
      <c r="H5" s="3">
        <v>676217</v>
      </c>
      <c r="I5" s="4">
        <f t="shared" ref="I5:I39" si="1">SUM(G5:H5)</f>
        <v>1430319</v>
      </c>
    </row>
    <row r="6" spans="1:9">
      <c r="A6" s="22" t="s">
        <v>10</v>
      </c>
      <c r="B6" s="27" t="s">
        <v>13</v>
      </c>
      <c r="C6" s="3">
        <v>19945</v>
      </c>
      <c r="D6" s="3">
        <v>15054</v>
      </c>
      <c r="E6" s="4">
        <f t="shared" si="0"/>
        <v>34999</v>
      </c>
      <c r="G6" s="3">
        <v>14334</v>
      </c>
      <c r="H6" s="3">
        <v>14286</v>
      </c>
      <c r="I6" s="4">
        <f t="shared" si="1"/>
        <v>28620</v>
      </c>
    </row>
    <row r="7" spans="1:9">
      <c r="A7" s="22" t="s">
        <v>10</v>
      </c>
      <c r="B7" s="27" t="s">
        <v>14</v>
      </c>
      <c r="C7" s="3">
        <v>65031</v>
      </c>
      <c r="D7" s="3">
        <v>57744</v>
      </c>
      <c r="E7" s="4">
        <f t="shared" si="0"/>
        <v>122775</v>
      </c>
      <c r="G7" s="3">
        <v>241939</v>
      </c>
      <c r="H7" s="3">
        <v>258935</v>
      </c>
      <c r="I7" s="4">
        <f t="shared" si="1"/>
        <v>500874</v>
      </c>
    </row>
    <row r="8" spans="1:9">
      <c r="A8" s="22" t="s">
        <v>10</v>
      </c>
      <c r="B8" s="27" t="s">
        <v>15</v>
      </c>
      <c r="C8" s="3">
        <v>191429</v>
      </c>
      <c r="D8" s="3">
        <v>117337</v>
      </c>
      <c r="E8" s="4">
        <f t="shared" si="0"/>
        <v>308766</v>
      </c>
      <c r="G8" s="3">
        <v>1211085</v>
      </c>
      <c r="H8" s="3">
        <v>1027494</v>
      </c>
      <c r="I8" s="4">
        <f t="shared" si="1"/>
        <v>2238579</v>
      </c>
    </row>
    <row r="9" spans="1:9">
      <c r="A9" s="22" t="s">
        <v>10</v>
      </c>
      <c r="B9" s="27" t="s">
        <v>16</v>
      </c>
      <c r="C9" s="3">
        <v>32984</v>
      </c>
      <c r="D9" s="3">
        <v>25006</v>
      </c>
      <c r="E9" s="4">
        <f t="shared" si="0"/>
        <v>57990</v>
      </c>
      <c r="G9" s="3">
        <v>19814</v>
      </c>
      <c r="H9" s="3">
        <v>29262</v>
      </c>
      <c r="I9" s="4">
        <f t="shared" si="1"/>
        <v>49076</v>
      </c>
    </row>
    <row r="10" spans="1:9">
      <c r="A10" s="22" t="s">
        <v>10</v>
      </c>
      <c r="B10" s="27" t="s">
        <v>17</v>
      </c>
      <c r="C10" s="3">
        <v>57842</v>
      </c>
      <c r="D10" s="3">
        <v>41505</v>
      </c>
      <c r="E10" s="4">
        <f t="shared" si="0"/>
        <v>99347</v>
      </c>
      <c r="G10" s="3">
        <v>234990</v>
      </c>
      <c r="H10" s="3">
        <v>307253</v>
      </c>
      <c r="I10" s="4">
        <f t="shared" si="1"/>
        <v>542243</v>
      </c>
    </row>
    <row r="11" spans="1:9">
      <c r="A11" s="22" t="s">
        <v>10</v>
      </c>
      <c r="B11" s="27" t="s">
        <v>18</v>
      </c>
      <c r="C11" s="3">
        <v>423990</v>
      </c>
      <c r="D11" s="3">
        <v>390723</v>
      </c>
      <c r="E11" s="4">
        <f t="shared" si="0"/>
        <v>814713</v>
      </c>
      <c r="G11" s="3">
        <v>142761</v>
      </c>
      <c r="H11" s="3">
        <v>156836</v>
      </c>
      <c r="I11" s="4">
        <f t="shared" si="1"/>
        <v>299597</v>
      </c>
    </row>
    <row r="12" spans="1:9">
      <c r="A12" s="22" t="s">
        <v>10</v>
      </c>
      <c r="B12" s="27" t="s">
        <v>19</v>
      </c>
      <c r="C12" s="3">
        <v>9101</v>
      </c>
      <c r="D12" s="3">
        <v>4904</v>
      </c>
      <c r="E12" s="4">
        <f t="shared" si="0"/>
        <v>14005</v>
      </c>
      <c r="G12" s="3">
        <v>18324</v>
      </c>
      <c r="H12" s="3">
        <v>23811</v>
      </c>
      <c r="I12" s="4">
        <f t="shared" si="1"/>
        <v>42135</v>
      </c>
    </row>
    <row r="13" spans="1:9">
      <c r="A13" s="22" t="s">
        <v>10</v>
      </c>
      <c r="B13" s="27" t="s">
        <v>20</v>
      </c>
      <c r="C13" s="3">
        <v>290685</v>
      </c>
      <c r="D13" s="3">
        <v>199325</v>
      </c>
      <c r="E13" s="4">
        <f t="shared" si="0"/>
        <v>490010</v>
      </c>
      <c r="G13" s="3">
        <v>710033</v>
      </c>
      <c r="H13" s="3">
        <v>564488</v>
      </c>
      <c r="I13" s="4">
        <f t="shared" si="1"/>
        <v>1274521</v>
      </c>
    </row>
    <row r="14" spans="1:9">
      <c r="A14" s="22" t="s">
        <v>10</v>
      </c>
      <c r="B14" s="27" t="s">
        <v>21</v>
      </c>
      <c r="C14" s="3">
        <v>196907</v>
      </c>
      <c r="D14" s="3">
        <v>172623</v>
      </c>
      <c r="E14" s="4">
        <f t="shared" si="0"/>
        <v>369530</v>
      </c>
      <c r="G14" s="3">
        <v>296369</v>
      </c>
      <c r="H14" s="3">
        <v>372305</v>
      </c>
      <c r="I14" s="4">
        <f t="shared" si="1"/>
        <v>668674</v>
      </c>
    </row>
    <row r="15" spans="1:9">
      <c r="A15" s="22" t="s">
        <v>10</v>
      </c>
      <c r="B15" s="27" t="s">
        <v>22</v>
      </c>
      <c r="C15" s="33">
        <v>58521</v>
      </c>
      <c r="D15" s="33">
        <v>47255</v>
      </c>
      <c r="E15" s="4">
        <f t="shared" si="0"/>
        <v>105776</v>
      </c>
      <c r="G15" s="3">
        <v>81088</v>
      </c>
      <c r="H15" s="3">
        <v>119569</v>
      </c>
      <c r="I15" s="4">
        <f t="shared" si="1"/>
        <v>200657</v>
      </c>
    </row>
    <row r="16" spans="1:9">
      <c r="A16" s="22" t="s">
        <v>10</v>
      </c>
      <c r="B16" s="27" t="s">
        <v>23</v>
      </c>
      <c r="C16" s="3">
        <v>83978</v>
      </c>
      <c r="D16" s="3">
        <v>81005</v>
      </c>
      <c r="E16" s="4">
        <f t="shared" si="0"/>
        <v>164983</v>
      </c>
      <c r="G16" s="3">
        <v>98871</v>
      </c>
      <c r="H16" s="3">
        <v>114342</v>
      </c>
      <c r="I16" s="4">
        <f t="shared" si="1"/>
        <v>213213</v>
      </c>
    </row>
    <row r="17" spans="1:9">
      <c r="A17" s="22" t="s">
        <v>10</v>
      </c>
      <c r="B17" s="27" t="s">
        <v>24</v>
      </c>
      <c r="C17" s="3">
        <v>103583</v>
      </c>
      <c r="D17" s="3">
        <v>73681</v>
      </c>
      <c r="E17" s="4">
        <f t="shared" si="0"/>
        <v>177264</v>
      </c>
      <c r="G17" s="3">
        <v>328236</v>
      </c>
      <c r="H17" s="3">
        <v>346127</v>
      </c>
      <c r="I17" s="4">
        <f t="shared" si="1"/>
        <v>674363</v>
      </c>
    </row>
    <row r="18" spans="1:9">
      <c r="A18" s="22" t="s">
        <v>10</v>
      </c>
      <c r="B18" s="27" t="s">
        <v>25</v>
      </c>
      <c r="C18" s="3">
        <v>218223</v>
      </c>
      <c r="D18" s="3">
        <v>176291</v>
      </c>
      <c r="E18" s="4">
        <f t="shared" si="0"/>
        <v>394514</v>
      </c>
      <c r="G18" s="3">
        <v>884791</v>
      </c>
      <c r="H18" s="3">
        <v>884292</v>
      </c>
      <c r="I18" s="4">
        <f t="shared" si="1"/>
        <v>1769083</v>
      </c>
    </row>
    <row r="19" spans="1:9">
      <c r="A19" s="22" t="s">
        <v>10</v>
      </c>
      <c r="B19" s="27" t="s">
        <v>26</v>
      </c>
      <c r="C19" s="3">
        <v>162832</v>
      </c>
      <c r="D19" s="3">
        <v>190414</v>
      </c>
      <c r="E19" s="4">
        <f t="shared" si="0"/>
        <v>353246</v>
      </c>
      <c r="G19" s="3">
        <v>309658</v>
      </c>
      <c r="H19" s="3">
        <v>481002</v>
      </c>
      <c r="I19" s="4">
        <f t="shared" si="1"/>
        <v>790660</v>
      </c>
    </row>
    <row r="20" spans="1:9">
      <c r="A20" s="22" t="s">
        <v>10</v>
      </c>
      <c r="B20" s="27" t="s">
        <v>27</v>
      </c>
      <c r="C20" s="3">
        <v>255</v>
      </c>
      <c r="D20" s="3">
        <v>445</v>
      </c>
      <c r="E20" s="4">
        <f t="shared" si="0"/>
        <v>700</v>
      </c>
      <c r="G20" s="3">
        <v>1102</v>
      </c>
      <c r="H20" s="3">
        <v>1979</v>
      </c>
      <c r="I20" s="4">
        <f t="shared" si="1"/>
        <v>3081</v>
      </c>
    </row>
    <row r="21" spans="1:9">
      <c r="A21" s="22" t="s">
        <v>10</v>
      </c>
      <c r="B21" s="27" t="s">
        <v>28</v>
      </c>
      <c r="C21" s="3">
        <v>14</v>
      </c>
      <c r="D21" s="3">
        <v>74</v>
      </c>
      <c r="E21" s="4">
        <f t="shared" si="0"/>
        <v>88</v>
      </c>
      <c r="G21" s="3">
        <v>0</v>
      </c>
      <c r="H21" s="3">
        <v>0</v>
      </c>
      <c r="I21" s="4">
        <f t="shared" si="1"/>
        <v>0</v>
      </c>
    </row>
    <row r="22" spans="1:9">
      <c r="A22" s="22" t="s">
        <v>10</v>
      </c>
      <c r="B22" s="27" t="s">
        <v>29</v>
      </c>
      <c r="C22" s="3">
        <v>409767</v>
      </c>
      <c r="D22" s="3">
        <v>231447</v>
      </c>
      <c r="E22" s="4">
        <f t="shared" si="0"/>
        <v>641214</v>
      </c>
      <c r="G22" s="3">
        <v>999647</v>
      </c>
      <c r="H22" s="3">
        <v>990645</v>
      </c>
      <c r="I22" s="4">
        <f t="shared" si="1"/>
        <v>1990292</v>
      </c>
    </row>
    <row r="23" spans="1:9">
      <c r="A23" s="22" t="s">
        <v>10</v>
      </c>
      <c r="B23" s="27" t="s">
        <v>30</v>
      </c>
      <c r="C23" s="3">
        <v>610462</v>
      </c>
      <c r="D23" s="3">
        <v>409832</v>
      </c>
      <c r="E23" s="4">
        <f t="shared" si="0"/>
        <v>1020294</v>
      </c>
      <c r="G23" s="3">
        <v>1723447</v>
      </c>
      <c r="H23" s="3">
        <v>1483472</v>
      </c>
      <c r="I23" s="4">
        <f t="shared" si="1"/>
        <v>3206919</v>
      </c>
    </row>
    <row r="24" spans="1:9">
      <c r="A24" s="22" t="s">
        <v>10</v>
      </c>
      <c r="B24" s="27" t="s">
        <v>31</v>
      </c>
      <c r="C24" s="3">
        <v>9482</v>
      </c>
      <c r="D24" s="3">
        <v>8211</v>
      </c>
      <c r="E24" s="4">
        <f t="shared" si="0"/>
        <v>17693</v>
      </c>
      <c r="G24" s="3">
        <v>53137</v>
      </c>
      <c r="H24" s="3">
        <v>51171</v>
      </c>
      <c r="I24" s="4">
        <f t="shared" si="1"/>
        <v>104308</v>
      </c>
    </row>
    <row r="25" spans="1:9">
      <c r="A25" s="22" t="s">
        <v>10</v>
      </c>
      <c r="B25" s="27" t="s">
        <v>32</v>
      </c>
      <c r="C25" s="3">
        <v>11708</v>
      </c>
      <c r="D25" s="3">
        <v>13276</v>
      </c>
      <c r="E25" s="4">
        <f t="shared" si="0"/>
        <v>24984</v>
      </c>
      <c r="G25" s="3">
        <v>28419</v>
      </c>
      <c r="H25" s="3">
        <v>34271</v>
      </c>
      <c r="I25" s="4">
        <f t="shared" si="1"/>
        <v>62690</v>
      </c>
    </row>
    <row r="26" spans="1:9">
      <c r="A26" s="22" t="s">
        <v>10</v>
      </c>
      <c r="B26" s="27" t="s">
        <v>33</v>
      </c>
      <c r="C26" s="3">
        <v>6399</v>
      </c>
      <c r="D26" s="3">
        <v>6763</v>
      </c>
      <c r="E26" s="4">
        <f t="shared" si="0"/>
        <v>13162</v>
      </c>
      <c r="G26" s="3">
        <v>13596</v>
      </c>
      <c r="H26" s="3">
        <v>13152</v>
      </c>
      <c r="I26" s="4">
        <f t="shared" si="1"/>
        <v>26748</v>
      </c>
    </row>
    <row r="27" spans="1:9">
      <c r="A27" s="22" t="s">
        <v>10</v>
      </c>
      <c r="B27" s="27" t="s">
        <v>34</v>
      </c>
      <c r="C27" s="3">
        <v>6155</v>
      </c>
      <c r="D27" s="3">
        <v>6923</v>
      </c>
      <c r="E27" s="4">
        <f t="shared" si="0"/>
        <v>13078</v>
      </c>
      <c r="G27" s="3">
        <v>16637</v>
      </c>
      <c r="H27" s="3">
        <v>19614</v>
      </c>
      <c r="I27" s="4">
        <f t="shared" si="1"/>
        <v>36251</v>
      </c>
    </row>
    <row r="28" spans="1:9">
      <c r="A28" s="22" t="s">
        <v>10</v>
      </c>
      <c r="B28" s="27" t="s">
        <v>35</v>
      </c>
      <c r="C28" s="3">
        <v>102463</v>
      </c>
      <c r="D28" s="3">
        <v>86891</v>
      </c>
      <c r="E28" s="4">
        <f t="shared" si="0"/>
        <v>189354</v>
      </c>
      <c r="G28" s="3">
        <v>382052</v>
      </c>
      <c r="H28" s="3">
        <v>360679</v>
      </c>
      <c r="I28" s="4">
        <f t="shared" si="1"/>
        <v>742731</v>
      </c>
    </row>
    <row r="29" spans="1:9">
      <c r="A29" s="22" t="s">
        <v>10</v>
      </c>
      <c r="B29" s="27" t="s">
        <v>36</v>
      </c>
      <c r="C29" s="3">
        <v>16247</v>
      </c>
      <c r="D29" s="3">
        <v>16138</v>
      </c>
      <c r="E29" s="4">
        <f t="shared" si="0"/>
        <v>32385</v>
      </c>
      <c r="G29" s="3">
        <v>23105</v>
      </c>
      <c r="H29" s="3">
        <v>28545</v>
      </c>
      <c r="I29" s="4">
        <f t="shared" si="1"/>
        <v>51650</v>
      </c>
    </row>
    <row r="30" spans="1:9">
      <c r="A30" s="22" t="s">
        <v>10</v>
      </c>
      <c r="B30" s="27" t="s">
        <v>37</v>
      </c>
      <c r="C30" s="3">
        <v>163732</v>
      </c>
      <c r="D30" s="3">
        <v>118539</v>
      </c>
      <c r="E30" s="4">
        <f t="shared" si="0"/>
        <v>282271</v>
      </c>
      <c r="G30" s="3">
        <v>234719</v>
      </c>
      <c r="H30" s="3">
        <v>278038</v>
      </c>
      <c r="I30" s="4">
        <f t="shared" si="1"/>
        <v>512757</v>
      </c>
    </row>
    <row r="31" spans="1:9">
      <c r="A31" s="22" t="s">
        <v>10</v>
      </c>
      <c r="B31" s="27" t="s">
        <v>38</v>
      </c>
      <c r="C31" s="3">
        <v>424404</v>
      </c>
      <c r="D31" s="3">
        <v>260852</v>
      </c>
      <c r="E31" s="4">
        <f t="shared" si="0"/>
        <v>685256</v>
      </c>
      <c r="G31" s="3">
        <v>897569</v>
      </c>
      <c r="H31" s="3">
        <v>909193</v>
      </c>
      <c r="I31" s="4">
        <f t="shared" si="1"/>
        <v>1806762</v>
      </c>
    </row>
    <row r="32" spans="1:9">
      <c r="A32" s="22" t="s">
        <v>10</v>
      </c>
      <c r="B32" s="27" t="s">
        <v>39</v>
      </c>
      <c r="C32" s="3">
        <v>8450</v>
      </c>
      <c r="D32" s="3">
        <v>8297</v>
      </c>
      <c r="E32" s="4">
        <f t="shared" si="0"/>
        <v>16747</v>
      </c>
      <c r="G32" s="3">
        <v>6342</v>
      </c>
      <c r="H32" s="3">
        <v>7905</v>
      </c>
      <c r="I32" s="4">
        <f t="shared" si="1"/>
        <v>14247</v>
      </c>
    </row>
    <row r="33" spans="1:9">
      <c r="A33" s="22" t="s">
        <v>10</v>
      </c>
      <c r="B33" s="27" t="s">
        <v>40</v>
      </c>
      <c r="C33" s="3">
        <v>444622</v>
      </c>
      <c r="D33" s="3">
        <v>341320</v>
      </c>
      <c r="E33" s="4">
        <f t="shared" si="0"/>
        <v>785942</v>
      </c>
      <c r="G33" s="3">
        <v>1042900</v>
      </c>
      <c r="H33" s="3">
        <v>1225003</v>
      </c>
      <c r="I33" s="4">
        <f t="shared" si="1"/>
        <v>2267903</v>
      </c>
    </row>
    <row r="34" spans="1:9">
      <c r="A34" s="22" t="s">
        <v>10</v>
      </c>
      <c r="B34" s="27" t="s">
        <v>41</v>
      </c>
      <c r="C34" s="3">
        <v>132085</v>
      </c>
      <c r="D34" s="3">
        <v>117404</v>
      </c>
      <c r="E34" s="4">
        <f t="shared" si="0"/>
        <v>249489</v>
      </c>
      <c r="G34" s="3">
        <v>584981</v>
      </c>
      <c r="H34" s="3">
        <v>601095</v>
      </c>
      <c r="I34" s="4">
        <f t="shared" si="1"/>
        <v>1186076</v>
      </c>
    </row>
    <row r="35" spans="1:9">
      <c r="A35" s="22" t="s">
        <v>10</v>
      </c>
      <c r="B35" s="27" t="s">
        <v>42</v>
      </c>
      <c r="C35" s="3">
        <v>208</v>
      </c>
      <c r="D35" s="3">
        <v>58</v>
      </c>
      <c r="E35" s="4">
        <f t="shared" si="0"/>
        <v>266</v>
      </c>
      <c r="G35" s="3">
        <v>6388</v>
      </c>
      <c r="H35" s="3">
        <v>6044</v>
      </c>
      <c r="I35" s="4">
        <f t="shared" si="1"/>
        <v>12432</v>
      </c>
    </row>
    <row r="36" spans="1:9">
      <c r="A36" s="22" t="s">
        <v>10</v>
      </c>
      <c r="B36" s="27" t="s">
        <v>43</v>
      </c>
      <c r="C36" s="3">
        <v>13558</v>
      </c>
      <c r="D36" s="3">
        <v>10411</v>
      </c>
      <c r="E36" s="4">
        <f t="shared" si="0"/>
        <v>23969</v>
      </c>
      <c r="G36" s="3">
        <v>39253</v>
      </c>
      <c r="H36" s="3">
        <v>35648</v>
      </c>
      <c r="I36" s="4">
        <f t="shared" si="1"/>
        <v>74901</v>
      </c>
    </row>
    <row r="37" spans="1:9">
      <c r="A37" s="22" t="s">
        <v>10</v>
      </c>
      <c r="B37" s="27" t="s">
        <v>44</v>
      </c>
      <c r="C37" s="3">
        <v>477835</v>
      </c>
      <c r="D37" s="3">
        <v>267952</v>
      </c>
      <c r="E37" s="4">
        <f t="shared" si="0"/>
        <v>745787</v>
      </c>
      <c r="G37" s="3">
        <v>2756978</v>
      </c>
      <c r="H37" s="3">
        <v>2706484</v>
      </c>
      <c r="I37" s="4">
        <f t="shared" si="1"/>
        <v>5463462</v>
      </c>
    </row>
    <row r="38" spans="1:9">
      <c r="A38" s="22" t="s">
        <v>10</v>
      </c>
      <c r="B38" s="27" t="s">
        <v>45</v>
      </c>
      <c r="C38" s="3">
        <v>136517</v>
      </c>
      <c r="D38" s="3">
        <v>110289</v>
      </c>
      <c r="E38" s="4">
        <f t="shared" si="0"/>
        <v>246806</v>
      </c>
      <c r="G38" s="3">
        <v>117040</v>
      </c>
      <c r="H38" s="3">
        <v>142632</v>
      </c>
      <c r="I38" s="4">
        <f t="shared" si="1"/>
        <v>259672</v>
      </c>
    </row>
    <row r="39" spans="1:9">
      <c r="A39" s="22" t="s">
        <v>10</v>
      </c>
      <c r="B39" s="27" t="s">
        <v>46</v>
      </c>
      <c r="C39" s="3">
        <v>427285</v>
      </c>
      <c r="D39" s="3">
        <v>345666</v>
      </c>
      <c r="E39" s="4">
        <f t="shared" si="0"/>
        <v>772951</v>
      </c>
      <c r="G39" s="3">
        <v>849089</v>
      </c>
      <c r="H39" s="3">
        <v>946169</v>
      </c>
      <c r="I39" s="4">
        <f t="shared" si="1"/>
        <v>1795258</v>
      </c>
    </row>
    <row r="40" spans="1:9">
      <c r="A40" s="30"/>
      <c r="B40" s="30"/>
    </row>
    <row r="41" spans="1:9">
      <c r="A41" s="22" t="s">
        <v>47</v>
      </c>
      <c r="B41" s="27" t="s">
        <v>11</v>
      </c>
      <c r="C41" s="11">
        <v>2220</v>
      </c>
      <c r="D41" s="11">
        <v>2071</v>
      </c>
      <c r="E41" s="12">
        <f>SUM(C41:D41)</f>
        <v>4291</v>
      </c>
      <c r="G41" s="11">
        <v>1031</v>
      </c>
      <c r="H41" s="3">
        <v>877</v>
      </c>
      <c r="I41" s="12">
        <f>SUM(G41:H41)</f>
        <v>1908</v>
      </c>
    </row>
    <row r="42" spans="1:9">
      <c r="A42" s="22" t="s">
        <v>47</v>
      </c>
      <c r="B42" s="27" t="s">
        <v>12</v>
      </c>
      <c r="C42" s="11">
        <v>196974</v>
      </c>
      <c r="D42" s="11">
        <v>159782</v>
      </c>
      <c r="E42" s="12">
        <f t="shared" ref="E42:E76" si="2">SUM(C42:D42)</f>
        <v>356756</v>
      </c>
      <c r="G42" s="11">
        <v>708229</v>
      </c>
      <c r="H42" s="11">
        <v>670446</v>
      </c>
      <c r="I42" s="12">
        <f t="shared" ref="I42:I77" si="3">SUM(G42:H42)</f>
        <v>1378675</v>
      </c>
    </row>
    <row r="43" spans="1:9">
      <c r="A43" s="22" t="s">
        <v>47</v>
      </c>
      <c r="B43" s="27" t="s">
        <v>13</v>
      </c>
      <c r="C43" s="11">
        <v>18789</v>
      </c>
      <c r="D43" s="11">
        <v>14605</v>
      </c>
      <c r="E43" s="12">
        <f t="shared" si="2"/>
        <v>33394</v>
      </c>
      <c r="G43" s="11">
        <v>14074</v>
      </c>
      <c r="H43" s="11">
        <v>14294</v>
      </c>
      <c r="I43" s="12">
        <f t="shared" si="3"/>
        <v>28368</v>
      </c>
    </row>
    <row r="44" spans="1:9">
      <c r="A44" s="22" t="s">
        <v>47</v>
      </c>
      <c r="B44" s="27" t="s">
        <v>14</v>
      </c>
      <c r="C44" s="11">
        <v>85651</v>
      </c>
      <c r="D44" s="11">
        <v>81891</v>
      </c>
      <c r="E44" s="12">
        <f t="shared" si="2"/>
        <v>167542</v>
      </c>
      <c r="G44" s="11">
        <v>262879</v>
      </c>
      <c r="H44" s="11">
        <v>294581</v>
      </c>
      <c r="I44" s="12">
        <f t="shared" si="3"/>
        <v>557460</v>
      </c>
    </row>
    <row r="45" spans="1:9">
      <c r="A45" s="22" t="s">
        <v>47</v>
      </c>
      <c r="B45" s="27" t="s">
        <v>15</v>
      </c>
      <c r="C45" s="11">
        <v>164656</v>
      </c>
      <c r="D45" s="11">
        <v>119277</v>
      </c>
      <c r="E45" s="12">
        <f t="shared" si="2"/>
        <v>283933</v>
      </c>
      <c r="G45" s="11">
        <v>1139430</v>
      </c>
      <c r="H45" s="11">
        <v>1110881</v>
      </c>
      <c r="I45" s="12">
        <f t="shared" si="3"/>
        <v>2250311</v>
      </c>
    </row>
    <row r="46" spans="1:9">
      <c r="A46" s="22" t="s">
        <v>47</v>
      </c>
      <c r="B46" s="27" t="s">
        <v>16</v>
      </c>
      <c r="C46" s="11">
        <v>31187</v>
      </c>
      <c r="D46" s="11">
        <v>24243</v>
      </c>
      <c r="E46" s="12">
        <f t="shared" si="2"/>
        <v>55430</v>
      </c>
      <c r="G46" s="11">
        <v>20373</v>
      </c>
      <c r="H46" s="11">
        <v>28586</v>
      </c>
      <c r="I46" s="12">
        <f t="shared" si="3"/>
        <v>48959</v>
      </c>
    </row>
    <row r="47" spans="1:9">
      <c r="A47" s="22" t="s">
        <v>47</v>
      </c>
      <c r="B47" s="27" t="s">
        <v>17</v>
      </c>
      <c r="C47" s="11">
        <v>182064</v>
      </c>
      <c r="D47" s="11">
        <v>170075</v>
      </c>
      <c r="E47" s="12">
        <f t="shared" si="2"/>
        <v>352139</v>
      </c>
      <c r="G47" s="11">
        <v>235406</v>
      </c>
      <c r="H47" s="11">
        <v>321029</v>
      </c>
      <c r="I47" s="12">
        <f t="shared" si="3"/>
        <v>556435</v>
      </c>
    </row>
    <row r="48" spans="1:9">
      <c r="A48" s="22" t="s">
        <v>47</v>
      </c>
      <c r="B48" s="27" t="s">
        <v>18</v>
      </c>
      <c r="C48" s="11">
        <v>441431</v>
      </c>
      <c r="D48" s="11">
        <v>408874</v>
      </c>
      <c r="E48" s="12">
        <f t="shared" si="2"/>
        <v>850305</v>
      </c>
      <c r="G48" s="11">
        <v>209291</v>
      </c>
      <c r="H48" s="11">
        <v>210673</v>
      </c>
      <c r="I48" s="12">
        <f t="shared" si="3"/>
        <v>419964</v>
      </c>
    </row>
    <row r="49" spans="1:9">
      <c r="A49" s="22" t="s">
        <v>47</v>
      </c>
      <c r="B49" s="27" t="s">
        <v>19</v>
      </c>
      <c r="C49" s="11">
        <v>9714</v>
      </c>
      <c r="D49" s="11">
        <v>5668</v>
      </c>
      <c r="E49" s="12">
        <f t="shared" si="2"/>
        <v>15382</v>
      </c>
      <c r="G49" s="11">
        <v>18083</v>
      </c>
      <c r="H49" s="11">
        <v>24188</v>
      </c>
      <c r="I49" s="12">
        <f t="shared" si="3"/>
        <v>42271</v>
      </c>
    </row>
    <row r="50" spans="1:9">
      <c r="A50" s="22" t="s">
        <v>47</v>
      </c>
      <c r="B50" s="27" t="s">
        <v>20</v>
      </c>
      <c r="C50" s="11">
        <v>332406</v>
      </c>
      <c r="D50" s="11">
        <v>235807</v>
      </c>
      <c r="E50" s="12">
        <f t="shared" si="2"/>
        <v>568213</v>
      </c>
      <c r="G50" s="11">
        <v>702972</v>
      </c>
      <c r="H50" s="11">
        <v>579214</v>
      </c>
      <c r="I50" s="12">
        <f t="shared" si="3"/>
        <v>1282186</v>
      </c>
    </row>
    <row r="51" spans="1:9">
      <c r="A51" s="22" t="s">
        <v>47</v>
      </c>
      <c r="B51" s="27" t="s">
        <v>21</v>
      </c>
      <c r="C51" s="11">
        <v>197109</v>
      </c>
      <c r="D51" s="11">
        <v>180440</v>
      </c>
      <c r="E51" s="12">
        <f t="shared" si="2"/>
        <v>377549</v>
      </c>
      <c r="G51" s="11">
        <v>306375</v>
      </c>
      <c r="H51" s="11">
        <v>390736</v>
      </c>
      <c r="I51" s="12">
        <f t="shared" si="3"/>
        <v>697111</v>
      </c>
    </row>
    <row r="52" spans="1:9">
      <c r="A52" s="22" t="s">
        <v>47</v>
      </c>
      <c r="B52" s="27" t="s">
        <v>22</v>
      </c>
      <c r="C52" s="11">
        <v>62323</v>
      </c>
      <c r="D52" s="11">
        <v>47146</v>
      </c>
      <c r="E52" s="12">
        <f t="shared" si="2"/>
        <v>109469</v>
      </c>
      <c r="G52" s="11">
        <v>77775</v>
      </c>
      <c r="H52" s="11">
        <v>115849</v>
      </c>
      <c r="I52" s="12">
        <f t="shared" si="3"/>
        <v>193624</v>
      </c>
    </row>
    <row r="53" spans="1:9">
      <c r="A53" s="22" t="s">
        <v>47</v>
      </c>
      <c r="B53" s="27" t="s">
        <v>23</v>
      </c>
      <c r="C53" s="11">
        <v>80186</v>
      </c>
      <c r="D53" s="11">
        <v>80258</v>
      </c>
      <c r="E53" s="12">
        <f t="shared" si="2"/>
        <v>160444</v>
      </c>
      <c r="G53" s="11">
        <v>100600</v>
      </c>
      <c r="H53" s="11">
        <v>114586</v>
      </c>
      <c r="I53" s="12">
        <f t="shared" si="3"/>
        <v>215186</v>
      </c>
    </row>
    <row r="54" spans="1:9">
      <c r="A54" s="22" t="s">
        <v>47</v>
      </c>
      <c r="B54" s="27" t="s">
        <v>24</v>
      </c>
      <c r="C54" s="11">
        <v>99721</v>
      </c>
      <c r="D54" s="11">
        <v>84559</v>
      </c>
      <c r="E54" s="12">
        <f t="shared" si="2"/>
        <v>184280</v>
      </c>
      <c r="G54" s="11">
        <v>338195</v>
      </c>
      <c r="H54" s="11">
        <v>348380</v>
      </c>
      <c r="I54" s="12">
        <f t="shared" si="3"/>
        <v>686575</v>
      </c>
    </row>
    <row r="55" spans="1:9">
      <c r="A55" s="22" t="s">
        <v>47</v>
      </c>
      <c r="B55" s="27" t="s">
        <v>25</v>
      </c>
      <c r="C55" s="11">
        <v>275485</v>
      </c>
      <c r="D55" s="11">
        <v>229536</v>
      </c>
      <c r="E55" s="12">
        <f t="shared" si="2"/>
        <v>505021</v>
      </c>
      <c r="G55" s="11">
        <v>883497</v>
      </c>
      <c r="H55" s="11">
        <v>907968</v>
      </c>
      <c r="I55" s="12">
        <f t="shared" si="3"/>
        <v>1791465</v>
      </c>
    </row>
    <row r="56" spans="1:9">
      <c r="A56" s="22" t="s">
        <v>47</v>
      </c>
      <c r="B56" s="27" t="s">
        <v>26</v>
      </c>
      <c r="C56" s="11">
        <v>119909</v>
      </c>
      <c r="D56" s="11">
        <v>156330</v>
      </c>
      <c r="E56" s="12">
        <f t="shared" si="2"/>
        <v>276239</v>
      </c>
      <c r="G56" s="11">
        <v>318547</v>
      </c>
      <c r="H56" s="11">
        <v>485316</v>
      </c>
      <c r="I56" s="12">
        <f t="shared" si="3"/>
        <v>803863</v>
      </c>
    </row>
    <row r="57" spans="1:9">
      <c r="A57" s="22" t="s">
        <v>47</v>
      </c>
      <c r="B57" s="27" t="s">
        <v>27</v>
      </c>
      <c r="C57" s="3">
        <v>272</v>
      </c>
      <c r="D57" s="3">
        <v>487</v>
      </c>
      <c r="E57" s="12">
        <f t="shared" si="2"/>
        <v>759</v>
      </c>
      <c r="G57" s="11">
        <v>1119</v>
      </c>
      <c r="H57" s="11">
        <v>1991</v>
      </c>
      <c r="I57" s="12">
        <f t="shared" si="3"/>
        <v>3110</v>
      </c>
    </row>
    <row r="58" spans="1:9">
      <c r="A58" s="22" t="s">
        <v>47</v>
      </c>
      <c r="B58" s="27" t="s">
        <v>28</v>
      </c>
      <c r="C58" s="3">
        <v>0</v>
      </c>
      <c r="D58" s="3">
        <v>0</v>
      </c>
      <c r="E58" s="12">
        <f t="shared" si="2"/>
        <v>0</v>
      </c>
      <c r="G58" s="3">
        <v>192</v>
      </c>
      <c r="H58" s="3">
        <v>321</v>
      </c>
      <c r="I58" s="12">
        <f t="shared" si="3"/>
        <v>513</v>
      </c>
    </row>
    <row r="59" spans="1:9">
      <c r="A59" s="22" t="s">
        <v>47</v>
      </c>
      <c r="B59" s="27" t="s">
        <v>29</v>
      </c>
      <c r="C59" s="11">
        <v>460440</v>
      </c>
      <c r="D59" s="11">
        <v>285157</v>
      </c>
      <c r="E59" s="12">
        <f t="shared" si="2"/>
        <v>745597</v>
      </c>
      <c r="G59" s="11">
        <v>932238</v>
      </c>
      <c r="H59" s="11">
        <v>977514</v>
      </c>
      <c r="I59" s="12">
        <f t="shared" si="3"/>
        <v>1909752</v>
      </c>
    </row>
    <row r="60" spans="1:9">
      <c r="A60" s="22" t="s">
        <v>47</v>
      </c>
      <c r="B60" s="27" t="s">
        <v>30</v>
      </c>
      <c r="C60" s="11">
        <v>586150</v>
      </c>
      <c r="D60" s="11">
        <v>417833</v>
      </c>
      <c r="E60" s="12">
        <f t="shared" si="2"/>
        <v>1003983</v>
      </c>
      <c r="G60" s="11">
        <v>1761331</v>
      </c>
      <c r="H60" s="11">
        <v>1542184</v>
      </c>
      <c r="I60" s="12">
        <f t="shared" si="3"/>
        <v>3303515</v>
      </c>
    </row>
    <row r="61" spans="1:9">
      <c r="A61" s="22" t="s">
        <v>47</v>
      </c>
      <c r="B61" s="27" t="s">
        <v>31</v>
      </c>
      <c r="C61" s="11">
        <v>11159</v>
      </c>
      <c r="D61" s="11">
        <v>10091</v>
      </c>
      <c r="E61" s="12">
        <f t="shared" si="2"/>
        <v>21250</v>
      </c>
      <c r="G61" s="11">
        <v>47355</v>
      </c>
      <c r="H61" s="11">
        <v>46817</v>
      </c>
      <c r="I61" s="12">
        <f t="shared" si="3"/>
        <v>94172</v>
      </c>
    </row>
    <row r="62" spans="1:9">
      <c r="A62" s="22" t="s">
        <v>47</v>
      </c>
      <c r="B62" s="27" t="s">
        <v>32</v>
      </c>
      <c r="C62" s="11">
        <v>12666</v>
      </c>
      <c r="D62" s="11">
        <v>15237</v>
      </c>
      <c r="E62" s="12">
        <f t="shared" si="2"/>
        <v>27903</v>
      </c>
      <c r="G62" s="11">
        <v>30177</v>
      </c>
      <c r="H62" s="11">
        <v>37967</v>
      </c>
      <c r="I62" s="12">
        <f t="shared" si="3"/>
        <v>68144</v>
      </c>
    </row>
    <row r="63" spans="1:9">
      <c r="A63" s="22" t="s">
        <v>47</v>
      </c>
      <c r="B63" s="27" t="s">
        <v>33</v>
      </c>
      <c r="C63" s="11">
        <v>6058</v>
      </c>
      <c r="D63" s="11">
        <v>6156</v>
      </c>
      <c r="E63" s="12">
        <f t="shared" si="2"/>
        <v>12214</v>
      </c>
      <c r="G63" s="11">
        <v>13728</v>
      </c>
      <c r="H63" s="11">
        <v>12663</v>
      </c>
      <c r="I63" s="12">
        <f t="shared" si="3"/>
        <v>26391</v>
      </c>
    </row>
    <row r="64" spans="1:9">
      <c r="A64" s="22" t="s">
        <v>47</v>
      </c>
      <c r="B64" s="27" t="s">
        <v>34</v>
      </c>
      <c r="C64" s="11">
        <v>5514</v>
      </c>
      <c r="D64" s="11">
        <v>6796</v>
      </c>
      <c r="E64" s="12">
        <f t="shared" si="2"/>
        <v>12310</v>
      </c>
      <c r="G64" s="11">
        <v>16662</v>
      </c>
      <c r="H64" s="11">
        <v>20285</v>
      </c>
      <c r="I64" s="12">
        <f t="shared" si="3"/>
        <v>36947</v>
      </c>
    </row>
    <row r="65" spans="1:9">
      <c r="A65" s="22" t="s">
        <v>47</v>
      </c>
      <c r="B65" s="27" t="s">
        <v>35</v>
      </c>
      <c r="C65" s="11">
        <v>100208</v>
      </c>
      <c r="D65" s="11">
        <v>89792</v>
      </c>
      <c r="E65" s="12">
        <f t="shared" si="2"/>
        <v>190000</v>
      </c>
      <c r="G65" s="11">
        <v>381672</v>
      </c>
      <c r="H65" s="11">
        <v>380386</v>
      </c>
      <c r="I65" s="12">
        <f t="shared" si="3"/>
        <v>762058</v>
      </c>
    </row>
    <row r="66" spans="1:9">
      <c r="A66" s="22" t="s">
        <v>47</v>
      </c>
      <c r="B66" s="27" t="s">
        <v>36</v>
      </c>
      <c r="C66" s="11">
        <v>20573</v>
      </c>
      <c r="D66" s="11">
        <v>19142</v>
      </c>
      <c r="E66" s="12">
        <f t="shared" si="2"/>
        <v>39715</v>
      </c>
      <c r="G66" s="11">
        <v>21445</v>
      </c>
      <c r="H66" s="11">
        <v>28157</v>
      </c>
      <c r="I66" s="12">
        <f t="shared" si="3"/>
        <v>49602</v>
      </c>
    </row>
    <row r="67" spans="1:9">
      <c r="A67" s="22" t="s">
        <v>47</v>
      </c>
      <c r="B67" s="27" t="s">
        <v>37</v>
      </c>
      <c r="C67" s="11">
        <v>184710</v>
      </c>
      <c r="D67" s="11">
        <v>131796</v>
      </c>
      <c r="E67" s="12">
        <f t="shared" si="2"/>
        <v>316506</v>
      </c>
      <c r="G67" s="11">
        <v>244924</v>
      </c>
      <c r="H67" s="11">
        <v>288511</v>
      </c>
      <c r="I67" s="12">
        <f t="shared" si="3"/>
        <v>533435</v>
      </c>
    </row>
    <row r="68" spans="1:9">
      <c r="A68" s="22" t="s">
        <v>47</v>
      </c>
      <c r="B68" s="27" t="s">
        <v>38</v>
      </c>
      <c r="C68" s="11">
        <v>407029</v>
      </c>
      <c r="D68" s="11">
        <v>282394</v>
      </c>
      <c r="E68" s="12">
        <f t="shared" si="2"/>
        <v>689423</v>
      </c>
      <c r="G68" s="11">
        <v>895624</v>
      </c>
      <c r="H68" s="11">
        <v>956843</v>
      </c>
      <c r="I68" s="12">
        <f t="shared" si="3"/>
        <v>1852467</v>
      </c>
    </row>
    <row r="69" spans="1:9">
      <c r="A69" s="22" t="s">
        <v>47</v>
      </c>
      <c r="B69" s="27" t="s">
        <v>39</v>
      </c>
      <c r="C69" s="11">
        <v>7845</v>
      </c>
      <c r="D69" s="11">
        <v>8115</v>
      </c>
      <c r="E69" s="12">
        <f t="shared" si="2"/>
        <v>15960</v>
      </c>
      <c r="G69" s="11">
        <v>6644</v>
      </c>
      <c r="H69" s="11">
        <v>7936</v>
      </c>
      <c r="I69" s="12">
        <f t="shared" si="3"/>
        <v>14580</v>
      </c>
    </row>
    <row r="70" spans="1:9">
      <c r="A70" s="22" t="s">
        <v>47</v>
      </c>
      <c r="B70" s="27" t="s">
        <v>40</v>
      </c>
      <c r="C70" s="11">
        <v>445004</v>
      </c>
      <c r="D70" s="11">
        <v>328715</v>
      </c>
      <c r="E70" s="12">
        <f t="shared" si="2"/>
        <v>773719</v>
      </c>
      <c r="G70" s="11">
        <v>1100079</v>
      </c>
      <c r="H70" s="11">
        <v>1285657</v>
      </c>
      <c r="I70" s="12">
        <f t="shared" si="3"/>
        <v>2385736</v>
      </c>
    </row>
    <row r="71" spans="1:9">
      <c r="A71" s="22" t="s">
        <v>47</v>
      </c>
      <c r="B71" s="27" t="s">
        <v>41</v>
      </c>
      <c r="C71" s="11">
        <v>147265</v>
      </c>
      <c r="D71" s="11">
        <v>131128</v>
      </c>
      <c r="E71" s="12">
        <f t="shared" si="2"/>
        <v>278393</v>
      </c>
      <c r="G71" s="11">
        <v>569535</v>
      </c>
      <c r="H71" s="11">
        <v>608758</v>
      </c>
      <c r="I71" s="12">
        <f t="shared" si="3"/>
        <v>1178293</v>
      </c>
    </row>
    <row r="72" spans="1:9">
      <c r="A72" s="22" t="s">
        <v>47</v>
      </c>
      <c r="B72" s="27" t="s">
        <v>42</v>
      </c>
      <c r="C72" s="3">
        <v>280</v>
      </c>
      <c r="D72" s="3">
        <v>89</v>
      </c>
      <c r="E72" s="12">
        <f t="shared" si="2"/>
        <v>369</v>
      </c>
      <c r="G72" s="11">
        <v>6245</v>
      </c>
      <c r="H72" s="11">
        <v>6286</v>
      </c>
      <c r="I72" s="12">
        <f t="shared" si="3"/>
        <v>12531</v>
      </c>
    </row>
    <row r="73" spans="1:9">
      <c r="A73" s="22" t="s">
        <v>47</v>
      </c>
      <c r="B73" s="27" t="s">
        <v>43</v>
      </c>
      <c r="C73" s="11">
        <v>12298</v>
      </c>
      <c r="D73" s="11">
        <v>9519</v>
      </c>
      <c r="E73" s="12">
        <f t="shared" si="2"/>
        <v>21817</v>
      </c>
      <c r="G73" s="11">
        <v>39162</v>
      </c>
      <c r="H73" s="11">
        <v>39448</v>
      </c>
      <c r="I73" s="12">
        <f t="shared" si="3"/>
        <v>78610</v>
      </c>
    </row>
    <row r="74" spans="1:9">
      <c r="A74" s="22" t="s">
        <v>47</v>
      </c>
      <c r="B74" s="27" t="s">
        <v>44</v>
      </c>
      <c r="C74" s="11">
        <v>501415</v>
      </c>
      <c r="D74" s="11">
        <v>315002</v>
      </c>
      <c r="E74" s="12">
        <f t="shared" si="2"/>
        <v>816417</v>
      </c>
      <c r="G74" s="11">
        <v>2951496</v>
      </c>
      <c r="H74" s="11">
        <v>3030778</v>
      </c>
      <c r="I74" s="12">
        <f t="shared" si="3"/>
        <v>5982274</v>
      </c>
    </row>
    <row r="75" spans="1:9">
      <c r="A75" s="22" t="s">
        <v>47</v>
      </c>
      <c r="B75" s="27" t="s">
        <v>45</v>
      </c>
      <c r="C75" s="11">
        <v>148443</v>
      </c>
      <c r="D75" s="11">
        <v>120426</v>
      </c>
      <c r="E75" s="12">
        <f t="shared" si="2"/>
        <v>268869</v>
      </c>
      <c r="G75" s="11">
        <v>106541</v>
      </c>
      <c r="H75" s="11">
        <v>134319</v>
      </c>
      <c r="I75" s="12">
        <f t="shared" si="3"/>
        <v>240860</v>
      </c>
    </row>
    <row r="76" spans="1:9">
      <c r="A76" s="22" t="s">
        <v>47</v>
      </c>
      <c r="B76" s="27" t="s">
        <v>46</v>
      </c>
      <c r="C76" s="11">
        <v>426621</v>
      </c>
      <c r="D76" s="11">
        <v>337819</v>
      </c>
      <c r="E76" s="12">
        <f t="shared" si="2"/>
        <v>764440</v>
      </c>
      <c r="G76" s="11">
        <v>832946</v>
      </c>
      <c r="H76" s="11">
        <v>933300</v>
      </c>
      <c r="I76" s="12">
        <f t="shared" si="3"/>
        <v>1766246</v>
      </c>
    </row>
    <row r="77" spans="1:9">
      <c r="E77" s="51"/>
      <c r="I77" s="51"/>
    </row>
    <row r="78" spans="1:9">
      <c r="A78" s="22" t="s">
        <v>48</v>
      </c>
      <c r="B78" s="27" t="s">
        <v>11</v>
      </c>
      <c r="C78" s="11">
        <v>2145</v>
      </c>
      <c r="D78" s="11">
        <v>2235</v>
      </c>
      <c r="E78" s="12">
        <f>SUM(C78:D78)</f>
        <v>4380</v>
      </c>
      <c r="G78" s="3">
        <v>862</v>
      </c>
      <c r="H78" s="3">
        <v>784</v>
      </c>
      <c r="I78" s="4">
        <f>SUM(G78:H78)</f>
        <v>1646</v>
      </c>
    </row>
    <row r="79" spans="1:9">
      <c r="A79" s="22" t="s">
        <v>48</v>
      </c>
      <c r="B79" s="27" t="s">
        <v>12</v>
      </c>
      <c r="C79" s="11">
        <v>210125</v>
      </c>
      <c r="D79" s="11">
        <v>168352</v>
      </c>
      <c r="E79" s="12">
        <f t="shared" ref="E79:E113" si="4">SUM(C79:D79)</f>
        <v>378477</v>
      </c>
      <c r="G79" s="11">
        <v>667308</v>
      </c>
      <c r="H79" s="11">
        <v>656301</v>
      </c>
      <c r="I79" s="4">
        <f t="shared" ref="I79:I114" si="5">SUM(G79:H79)</f>
        <v>1323609</v>
      </c>
    </row>
    <row r="80" spans="1:9">
      <c r="A80" s="22" t="s">
        <v>48</v>
      </c>
      <c r="B80" s="27" t="s">
        <v>13</v>
      </c>
      <c r="C80" s="11">
        <v>17381</v>
      </c>
      <c r="D80" s="11">
        <v>14329</v>
      </c>
      <c r="E80" s="12">
        <f t="shared" si="4"/>
        <v>31710</v>
      </c>
      <c r="G80" s="11">
        <v>13480</v>
      </c>
      <c r="H80" s="11">
        <v>14146</v>
      </c>
      <c r="I80" s="4">
        <f t="shared" si="5"/>
        <v>27626</v>
      </c>
    </row>
    <row r="81" spans="1:9">
      <c r="A81" s="22" t="s">
        <v>48</v>
      </c>
      <c r="B81" s="27" t="s">
        <v>14</v>
      </c>
      <c r="C81" s="11">
        <v>92625</v>
      </c>
      <c r="D81" s="11">
        <v>96194</v>
      </c>
      <c r="E81" s="12">
        <f t="shared" si="4"/>
        <v>188819</v>
      </c>
      <c r="G81" s="11">
        <v>262956</v>
      </c>
      <c r="H81" s="11">
        <v>314188</v>
      </c>
      <c r="I81" s="4">
        <f t="shared" si="5"/>
        <v>577144</v>
      </c>
    </row>
    <row r="82" spans="1:9">
      <c r="A82" s="22" t="s">
        <v>48</v>
      </c>
      <c r="B82" s="27" t="s">
        <v>15</v>
      </c>
      <c r="C82" s="11">
        <v>165406</v>
      </c>
      <c r="D82" s="11">
        <v>128330</v>
      </c>
      <c r="E82" s="12">
        <f t="shared" si="4"/>
        <v>293736</v>
      </c>
      <c r="G82" s="11">
        <v>1144188</v>
      </c>
      <c r="H82" s="11">
        <v>1227884</v>
      </c>
      <c r="I82" s="4">
        <f t="shared" si="5"/>
        <v>2372072</v>
      </c>
    </row>
    <row r="83" spans="1:9">
      <c r="A83" s="22" t="s">
        <v>48</v>
      </c>
      <c r="B83" s="27" t="s">
        <v>16</v>
      </c>
      <c r="C83" s="11">
        <v>28154</v>
      </c>
      <c r="D83" s="11">
        <v>24614</v>
      </c>
      <c r="E83" s="12">
        <f t="shared" si="4"/>
        <v>52768</v>
      </c>
      <c r="G83" s="11">
        <v>20246</v>
      </c>
      <c r="H83" s="11">
        <v>28300</v>
      </c>
      <c r="I83" s="4">
        <f t="shared" si="5"/>
        <v>48546</v>
      </c>
    </row>
    <row r="84" spans="1:9">
      <c r="A84" s="22" t="s">
        <v>48</v>
      </c>
      <c r="B84" s="27" t="s">
        <v>17</v>
      </c>
      <c r="C84" s="11">
        <v>157506</v>
      </c>
      <c r="D84" s="11">
        <v>154984</v>
      </c>
      <c r="E84" s="12">
        <f t="shared" si="4"/>
        <v>312490</v>
      </c>
      <c r="G84" s="11">
        <v>199292</v>
      </c>
      <c r="H84" s="11">
        <v>300104</v>
      </c>
      <c r="I84" s="4">
        <f t="shared" si="5"/>
        <v>499396</v>
      </c>
    </row>
    <row r="85" spans="1:9">
      <c r="A85" s="22" t="s">
        <v>48</v>
      </c>
      <c r="B85" s="27" t="s">
        <v>18</v>
      </c>
      <c r="C85" s="11">
        <v>461032</v>
      </c>
      <c r="D85" s="11">
        <v>447813</v>
      </c>
      <c r="E85" s="12">
        <f t="shared" si="4"/>
        <v>908845</v>
      </c>
      <c r="G85" s="11">
        <v>141875</v>
      </c>
      <c r="H85" s="11">
        <v>149845</v>
      </c>
      <c r="I85" s="4">
        <f t="shared" si="5"/>
        <v>291720</v>
      </c>
    </row>
    <row r="86" spans="1:9">
      <c r="A86" s="22" t="s">
        <v>48</v>
      </c>
      <c r="B86" s="27" t="s">
        <v>19</v>
      </c>
      <c r="C86" s="11">
        <v>9179</v>
      </c>
      <c r="D86" s="11">
        <v>5786</v>
      </c>
      <c r="E86" s="12">
        <f t="shared" si="4"/>
        <v>14965</v>
      </c>
      <c r="G86" s="11">
        <v>18165</v>
      </c>
      <c r="H86" s="11">
        <v>24479</v>
      </c>
      <c r="I86" s="4">
        <f t="shared" si="5"/>
        <v>42644</v>
      </c>
    </row>
    <row r="87" spans="1:9">
      <c r="A87" s="22" t="s">
        <v>48</v>
      </c>
      <c r="B87" s="27" t="s">
        <v>20</v>
      </c>
      <c r="C87" s="11">
        <v>347266</v>
      </c>
      <c r="D87" s="11">
        <v>253069</v>
      </c>
      <c r="E87" s="12">
        <f t="shared" si="4"/>
        <v>600335</v>
      </c>
      <c r="G87" s="11">
        <v>695494</v>
      </c>
      <c r="H87" s="11">
        <v>602861</v>
      </c>
      <c r="I87" s="4">
        <f t="shared" si="5"/>
        <v>1298355</v>
      </c>
    </row>
    <row r="88" spans="1:9">
      <c r="A88" s="22" t="s">
        <v>48</v>
      </c>
      <c r="B88" s="27" t="s">
        <v>21</v>
      </c>
      <c r="C88" s="11">
        <v>195242</v>
      </c>
      <c r="D88" s="11">
        <v>190236</v>
      </c>
      <c r="E88" s="12">
        <f t="shared" si="4"/>
        <v>385478</v>
      </c>
      <c r="G88" s="11">
        <v>301608</v>
      </c>
      <c r="H88" s="11">
        <v>389473</v>
      </c>
      <c r="I88" s="4">
        <f t="shared" si="5"/>
        <v>691081</v>
      </c>
    </row>
    <row r="89" spans="1:9">
      <c r="A89" s="22" t="s">
        <v>48</v>
      </c>
      <c r="B89" s="27" t="s">
        <v>22</v>
      </c>
      <c r="C89" s="11">
        <v>67199</v>
      </c>
      <c r="D89" s="11">
        <v>54599</v>
      </c>
      <c r="E89" s="12">
        <f t="shared" si="4"/>
        <v>121798</v>
      </c>
      <c r="G89" s="11">
        <v>76200</v>
      </c>
      <c r="H89" s="11">
        <v>115822</v>
      </c>
      <c r="I89" s="4">
        <f t="shared" si="5"/>
        <v>192022</v>
      </c>
    </row>
    <row r="90" spans="1:9">
      <c r="A90" s="22" t="s">
        <v>48</v>
      </c>
      <c r="B90" s="27" t="s">
        <v>23</v>
      </c>
      <c r="C90" s="11">
        <v>68633</v>
      </c>
      <c r="D90" s="11">
        <v>80028</v>
      </c>
      <c r="E90" s="12">
        <f t="shared" si="4"/>
        <v>148661</v>
      </c>
      <c r="G90" s="11">
        <v>82187</v>
      </c>
      <c r="H90" s="11">
        <v>100091</v>
      </c>
      <c r="I90" s="4">
        <f t="shared" si="5"/>
        <v>182278</v>
      </c>
    </row>
    <row r="91" spans="1:9">
      <c r="A91" s="22" t="s">
        <v>48</v>
      </c>
      <c r="B91" s="27" t="s">
        <v>24</v>
      </c>
      <c r="C91" s="11">
        <v>103910</v>
      </c>
      <c r="D91" s="11">
        <v>85516</v>
      </c>
      <c r="E91" s="12">
        <f t="shared" si="4"/>
        <v>189426</v>
      </c>
      <c r="G91" s="11">
        <v>334120</v>
      </c>
      <c r="H91" s="11">
        <v>364972</v>
      </c>
      <c r="I91" s="4">
        <f t="shared" si="5"/>
        <v>699092</v>
      </c>
    </row>
    <row r="92" spans="1:9">
      <c r="A92" s="22" t="s">
        <v>48</v>
      </c>
      <c r="B92" s="27" t="s">
        <v>25</v>
      </c>
      <c r="C92" s="11">
        <v>300793</v>
      </c>
      <c r="D92" s="11">
        <v>272227</v>
      </c>
      <c r="E92" s="12">
        <f t="shared" si="4"/>
        <v>573020</v>
      </c>
      <c r="G92" s="11">
        <v>899550</v>
      </c>
      <c r="H92" s="11">
        <v>951865</v>
      </c>
      <c r="I92" s="4">
        <f t="shared" si="5"/>
        <v>1851415</v>
      </c>
    </row>
    <row r="93" spans="1:9">
      <c r="A93" s="22" t="s">
        <v>48</v>
      </c>
      <c r="B93" s="27" t="s">
        <v>26</v>
      </c>
      <c r="C93" s="11">
        <v>139224</v>
      </c>
      <c r="D93" s="11">
        <v>187552</v>
      </c>
      <c r="E93" s="12">
        <f t="shared" si="4"/>
        <v>326776</v>
      </c>
      <c r="G93" s="11">
        <v>321355</v>
      </c>
      <c r="H93" s="11">
        <v>479108</v>
      </c>
      <c r="I93" s="4">
        <f t="shared" si="5"/>
        <v>800463</v>
      </c>
    </row>
    <row r="94" spans="1:9">
      <c r="A94" s="22" t="s">
        <v>48</v>
      </c>
      <c r="B94" s="27" t="s">
        <v>27</v>
      </c>
      <c r="C94" s="3">
        <v>312</v>
      </c>
      <c r="D94" s="3">
        <v>458</v>
      </c>
      <c r="E94" s="12">
        <f t="shared" si="4"/>
        <v>770</v>
      </c>
      <c r="G94" s="3">
        <v>882</v>
      </c>
      <c r="H94" s="11">
        <v>1711</v>
      </c>
      <c r="I94" s="4">
        <f t="shared" si="5"/>
        <v>2593</v>
      </c>
    </row>
    <row r="95" spans="1:9">
      <c r="A95" s="22" t="s">
        <v>48</v>
      </c>
      <c r="B95" s="27" t="s">
        <v>28</v>
      </c>
      <c r="C95" s="3">
        <v>0</v>
      </c>
      <c r="D95" s="3">
        <v>0</v>
      </c>
      <c r="E95" s="12">
        <f t="shared" si="4"/>
        <v>0</v>
      </c>
      <c r="G95" s="3">
        <v>199</v>
      </c>
      <c r="H95" s="3">
        <v>393</v>
      </c>
      <c r="I95" s="4">
        <f t="shared" si="5"/>
        <v>592</v>
      </c>
    </row>
    <row r="96" spans="1:9">
      <c r="A96" s="22" t="s">
        <v>48</v>
      </c>
      <c r="B96" s="27" t="s">
        <v>29</v>
      </c>
      <c r="C96" s="11">
        <v>496814</v>
      </c>
      <c r="D96" s="11">
        <v>312739</v>
      </c>
      <c r="E96" s="12">
        <f t="shared" si="4"/>
        <v>809553</v>
      </c>
      <c r="G96" s="11">
        <v>904465</v>
      </c>
      <c r="H96" s="11">
        <v>980634</v>
      </c>
      <c r="I96" s="4">
        <f t="shared" si="5"/>
        <v>1885099</v>
      </c>
    </row>
    <row r="97" spans="1:9">
      <c r="A97" s="22" t="s">
        <v>48</v>
      </c>
      <c r="B97" s="27" t="s">
        <v>30</v>
      </c>
      <c r="C97" s="11">
        <v>579330</v>
      </c>
      <c r="D97" s="11">
        <v>428823</v>
      </c>
      <c r="E97" s="12">
        <f t="shared" si="4"/>
        <v>1008153</v>
      </c>
      <c r="G97" s="11">
        <v>1665930</v>
      </c>
      <c r="H97" s="11">
        <v>1550966</v>
      </c>
      <c r="I97" s="4">
        <f t="shared" si="5"/>
        <v>3216896</v>
      </c>
    </row>
    <row r="98" spans="1:9">
      <c r="A98" s="22" t="s">
        <v>48</v>
      </c>
      <c r="B98" s="27" t="s">
        <v>31</v>
      </c>
      <c r="C98" s="11">
        <v>12258</v>
      </c>
      <c r="D98" s="11">
        <v>10487</v>
      </c>
      <c r="E98" s="12">
        <f t="shared" si="4"/>
        <v>22745</v>
      </c>
      <c r="G98" s="11">
        <v>42471</v>
      </c>
      <c r="H98" s="11">
        <v>43562</v>
      </c>
      <c r="I98" s="4">
        <f t="shared" si="5"/>
        <v>86033</v>
      </c>
    </row>
    <row r="99" spans="1:9">
      <c r="A99" s="22" t="s">
        <v>48</v>
      </c>
      <c r="B99" s="27" t="s">
        <v>32</v>
      </c>
      <c r="C99" s="11">
        <v>12580</v>
      </c>
      <c r="D99" s="11">
        <v>15863</v>
      </c>
      <c r="E99" s="12">
        <f t="shared" si="4"/>
        <v>28443</v>
      </c>
      <c r="G99" s="11">
        <v>33302</v>
      </c>
      <c r="H99" s="11">
        <v>41642</v>
      </c>
      <c r="I99" s="4">
        <f t="shared" si="5"/>
        <v>74944</v>
      </c>
    </row>
    <row r="100" spans="1:9">
      <c r="A100" s="22" t="s">
        <v>48</v>
      </c>
      <c r="B100" s="27" t="s">
        <v>33</v>
      </c>
      <c r="C100" s="11">
        <v>5489</v>
      </c>
      <c r="D100" s="11">
        <v>5678</v>
      </c>
      <c r="E100" s="12">
        <f t="shared" si="4"/>
        <v>11167</v>
      </c>
      <c r="G100" s="11">
        <v>12517</v>
      </c>
      <c r="H100" s="11">
        <v>11539</v>
      </c>
      <c r="I100" s="4">
        <f t="shared" si="5"/>
        <v>24056</v>
      </c>
    </row>
    <row r="101" spans="1:9">
      <c r="A101" s="22" t="s">
        <v>48</v>
      </c>
      <c r="B101" s="27" t="s">
        <v>34</v>
      </c>
      <c r="C101" s="11">
        <v>5967</v>
      </c>
      <c r="D101" s="11">
        <v>6767</v>
      </c>
      <c r="E101" s="12">
        <f t="shared" si="4"/>
        <v>12734</v>
      </c>
      <c r="G101" s="11">
        <v>15694</v>
      </c>
      <c r="H101" s="11">
        <v>19231</v>
      </c>
      <c r="I101" s="4">
        <f t="shared" si="5"/>
        <v>34925</v>
      </c>
    </row>
    <row r="102" spans="1:9">
      <c r="A102" s="22" t="s">
        <v>48</v>
      </c>
      <c r="B102" s="27" t="s">
        <v>35</v>
      </c>
      <c r="C102" s="11">
        <v>117226</v>
      </c>
      <c r="D102" s="11">
        <v>106061</v>
      </c>
      <c r="E102" s="12">
        <f t="shared" si="4"/>
        <v>223287</v>
      </c>
      <c r="G102" s="11">
        <v>389760</v>
      </c>
      <c r="H102" s="11">
        <v>410280</v>
      </c>
      <c r="I102" s="4">
        <f t="shared" si="5"/>
        <v>800040</v>
      </c>
    </row>
    <row r="103" spans="1:9">
      <c r="A103" s="22" t="s">
        <v>48</v>
      </c>
      <c r="B103" s="27" t="s">
        <v>36</v>
      </c>
      <c r="C103" s="11">
        <v>27288</v>
      </c>
      <c r="D103" s="11">
        <v>25725</v>
      </c>
      <c r="E103" s="12">
        <f t="shared" si="4"/>
        <v>53013</v>
      </c>
      <c r="G103" s="11">
        <v>22971</v>
      </c>
      <c r="H103" s="11">
        <v>29364</v>
      </c>
      <c r="I103" s="4">
        <f t="shared" si="5"/>
        <v>52335</v>
      </c>
    </row>
    <row r="104" spans="1:9">
      <c r="A104" s="22" t="s">
        <v>48</v>
      </c>
      <c r="B104" s="27" t="s">
        <v>37</v>
      </c>
      <c r="C104" s="11">
        <v>199030</v>
      </c>
      <c r="D104" s="11">
        <v>153099</v>
      </c>
      <c r="E104" s="12">
        <f t="shared" si="4"/>
        <v>352129</v>
      </c>
      <c r="G104" s="11">
        <v>239130</v>
      </c>
      <c r="H104" s="11">
        <v>292205</v>
      </c>
      <c r="I104" s="4">
        <f t="shared" si="5"/>
        <v>531335</v>
      </c>
    </row>
    <row r="105" spans="1:9">
      <c r="A105" s="22" t="s">
        <v>48</v>
      </c>
      <c r="B105" s="27" t="s">
        <v>38</v>
      </c>
      <c r="C105" s="11">
        <v>439085</v>
      </c>
      <c r="D105" s="11">
        <v>295962</v>
      </c>
      <c r="E105" s="12">
        <f t="shared" si="4"/>
        <v>735047</v>
      </c>
      <c r="G105" s="11">
        <v>877450</v>
      </c>
      <c r="H105" s="11">
        <v>988300</v>
      </c>
      <c r="I105" s="4">
        <f t="shared" si="5"/>
        <v>1865750</v>
      </c>
    </row>
    <row r="106" spans="1:9">
      <c r="A106" s="22" t="s">
        <v>48</v>
      </c>
      <c r="B106" s="27" t="s">
        <v>39</v>
      </c>
      <c r="C106" s="11">
        <v>10427</v>
      </c>
      <c r="D106" s="11">
        <v>10429</v>
      </c>
      <c r="E106" s="12">
        <f t="shared" si="4"/>
        <v>20856</v>
      </c>
      <c r="G106" s="11">
        <v>6445</v>
      </c>
      <c r="H106" s="11">
        <v>7561</v>
      </c>
      <c r="I106" s="4">
        <f t="shared" si="5"/>
        <v>14006</v>
      </c>
    </row>
    <row r="107" spans="1:9">
      <c r="A107" s="22" t="s">
        <v>48</v>
      </c>
      <c r="B107" s="27" t="s">
        <v>40</v>
      </c>
      <c r="C107" s="11">
        <v>481120</v>
      </c>
      <c r="D107" s="11">
        <v>388203</v>
      </c>
      <c r="E107" s="12">
        <f t="shared" si="4"/>
        <v>869323</v>
      </c>
      <c r="G107" s="11">
        <v>1140032</v>
      </c>
      <c r="H107" s="11">
        <v>1322734</v>
      </c>
      <c r="I107" s="4">
        <f t="shared" si="5"/>
        <v>2462766</v>
      </c>
    </row>
    <row r="108" spans="1:9">
      <c r="A108" s="22" t="s">
        <v>48</v>
      </c>
      <c r="B108" s="27" t="s">
        <v>41</v>
      </c>
      <c r="C108" s="11">
        <v>221449</v>
      </c>
      <c r="D108" s="11">
        <v>202913</v>
      </c>
      <c r="E108" s="12">
        <f t="shared" si="4"/>
        <v>424362</v>
      </c>
      <c r="G108" s="11">
        <v>528921</v>
      </c>
      <c r="H108" s="11">
        <v>571162</v>
      </c>
      <c r="I108" s="4">
        <f t="shared" si="5"/>
        <v>1100083</v>
      </c>
    </row>
    <row r="109" spans="1:9">
      <c r="A109" s="22" t="s">
        <v>48</v>
      </c>
      <c r="B109" s="27" t="s">
        <v>42</v>
      </c>
      <c r="C109" s="3">
        <v>369</v>
      </c>
      <c r="D109" s="3">
        <v>111</v>
      </c>
      <c r="E109" s="12">
        <f t="shared" si="4"/>
        <v>480</v>
      </c>
      <c r="G109" s="11">
        <v>5949</v>
      </c>
      <c r="H109" s="11">
        <v>6068</v>
      </c>
      <c r="I109" s="4">
        <f t="shared" si="5"/>
        <v>12017</v>
      </c>
    </row>
    <row r="110" spans="1:9">
      <c r="A110" s="22" t="s">
        <v>48</v>
      </c>
      <c r="B110" s="27" t="s">
        <v>43</v>
      </c>
      <c r="C110" s="11">
        <v>13251</v>
      </c>
      <c r="D110" s="11">
        <v>10286</v>
      </c>
      <c r="E110" s="12">
        <f t="shared" si="4"/>
        <v>23537</v>
      </c>
      <c r="G110" s="11">
        <v>41066</v>
      </c>
      <c r="H110" s="11">
        <v>43857</v>
      </c>
      <c r="I110" s="4">
        <f t="shared" si="5"/>
        <v>84923</v>
      </c>
    </row>
    <row r="111" spans="1:9">
      <c r="A111" s="4" t="s">
        <v>48</v>
      </c>
      <c r="B111" s="27" t="s">
        <v>44</v>
      </c>
      <c r="C111" s="11">
        <v>526412</v>
      </c>
      <c r="D111" s="11">
        <v>318081</v>
      </c>
      <c r="E111" s="12">
        <f t="shared" si="4"/>
        <v>844493</v>
      </c>
      <c r="G111" s="11">
        <v>2928126</v>
      </c>
      <c r="H111" s="11">
        <v>3088758</v>
      </c>
      <c r="I111" s="4">
        <f t="shared" si="5"/>
        <v>6016884</v>
      </c>
    </row>
    <row r="112" spans="1:9">
      <c r="A112" s="4" t="s">
        <v>48</v>
      </c>
      <c r="B112" s="27" t="s">
        <v>45</v>
      </c>
      <c r="C112" s="11">
        <v>165741</v>
      </c>
      <c r="D112" s="11">
        <v>136993</v>
      </c>
      <c r="E112" s="12">
        <f t="shared" si="4"/>
        <v>302734</v>
      </c>
      <c r="G112" s="11">
        <v>104189</v>
      </c>
      <c r="H112" s="11">
        <v>136496</v>
      </c>
      <c r="I112" s="4">
        <f t="shared" si="5"/>
        <v>240685</v>
      </c>
    </row>
    <row r="113" spans="1:9">
      <c r="A113" s="4" t="s">
        <v>48</v>
      </c>
      <c r="B113" s="27" t="s">
        <v>46</v>
      </c>
      <c r="C113" s="11">
        <v>314360</v>
      </c>
      <c r="D113" s="11">
        <v>270028</v>
      </c>
      <c r="E113" s="12">
        <f t="shared" si="4"/>
        <v>584388</v>
      </c>
      <c r="G113" s="11">
        <v>784346</v>
      </c>
      <c r="H113" s="11">
        <v>923707</v>
      </c>
      <c r="I113" s="4">
        <f t="shared" si="5"/>
        <v>1708053</v>
      </c>
    </row>
    <row r="114" spans="1:9">
      <c r="E114" s="51"/>
    </row>
  </sheetData>
  <mergeCells count="2">
    <mergeCell ref="A1:E2"/>
    <mergeCell ref="G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94A3-07D5-4CBE-B4CE-5B04379ABB7C}">
  <dimension ref="A1:E113"/>
  <sheetViews>
    <sheetView workbookViewId="0">
      <selection activeCell="B27" sqref="B27"/>
    </sheetView>
  </sheetViews>
  <sheetFormatPr defaultRowHeight="15"/>
  <cols>
    <col min="2" max="2" width="51.28515625" bestFit="1" customWidth="1"/>
    <col min="3" max="3" width="15.7109375" bestFit="1" customWidth="1"/>
    <col min="4" max="4" width="17.85546875" bestFit="1" customWidth="1"/>
    <col min="5" max="5" width="16" bestFit="1" customWidth="1"/>
  </cols>
  <sheetData>
    <row r="1" spans="1:5">
      <c r="A1" s="61" t="s">
        <v>57</v>
      </c>
      <c r="B1" s="62"/>
      <c r="C1" s="62"/>
      <c r="D1" s="62"/>
      <c r="E1" s="62"/>
    </row>
    <row r="2" spans="1:5">
      <c r="A2" s="62"/>
      <c r="B2" s="62"/>
      <c r="C2" s="62"/>
      <c r="D2" s="62"/>
      <c r="E2" s="62"/>
    </row>
    <row r="3" spans="1:5" ht="15.75">
      <c r="A3" s="13" t="s">
        <v>2</v>
      </c>
      <c r="B3" s="13" t="s">
        <v>58</v>
      </c>
      <c r="C3" s="13" t="s">
        <v>59</v>
      </c>
      <c r="D3" s="13" t="s">
        <v>60</v>
      </c>
      <c r="E3" s="13" t="s">
        <v>57</v>
      </c>
    </row>
    <row r="4" spans="1:5">
      <c r="A4" s="22" t="s">
        <v>10</v>
      </c>
      <c r="B4" s="27" t="s">
        <v>11</v>
      </c>
      <c r="C4" s="18">
        <v>247</v>
      </c>
      <c r="D4" s="18">
        <v>205</v>
      </c>
      <c r="E4" s="4">
        <f>SUM(C4:D4)</f>
        <v>452</v>
      </c>
    </row>
    <row r="5" spans="1:5">
      <c r="A5" s="22" t="s">
        <v>10</v>
      </c>
      <c r="B5" s="27" t="s">
        <v>12</v>
      </c>
      <c r="C5" s="18">
        <v>65930</v>
      </c>
      <c r="D5" s="18">
        <v>40608</v>
      </c>
      <c r="E5" s="4">
        <f t="shared" ref="E5:E39" si="0">SUM(C5:D5)</f>
        <v>106538</v>
      </c>
    </row>
    <row r="6" spans="1:5">
      <c r="A6" s="22" t="s">
        <v>10</v>
      </c>
      <c r="B6" s="27" t="s">
        <v>13</v>
      </c>
      <c r="C6" s="18">
        <v>1276</v>
      </c>
      <c r="D6" s="18">
        <v>1017</v>
      </c>
      <c r="E6" s="4">
        <f t="shared" si="0"/>
        <v>2293</v>
      </c>
    </row>
    <row r="7" spans="1:5">
      <c r="A7" s="22" t="s">
        <v>10</v>
      </c>
      <c r="B7" s="27" t="s">
        <v>14</v>
      </c>
      <c r="C7" s="18">
        <v>13385</v>
      </c>
      <c r="D7" s="18">
        <v>9951</v>
      </c>
      <c r="E7" s="4">
        <f t="shared" si="0"/>
        <v>23336</v>
      </c>
    </row>
    <row r="8" spans="1:5">
      <c r="A8" s="22" t="s">
        <v>10</v>
      </c>
      <c r="B8" s="27" t="s">
        <v>15</v>
      </c>
      <c r="C8" s="18">
        <v>28896</v>
      </c>
      <c r="D8" s="18">
        <v>9256</v>
      </c>
      <c r="E8" s="4">
        <f t="shared" si="0"/>
        <v>38152</v>
      </c>
    </row>
    <row r="9" spans="1:5">
      <c r="A9" s="22" t="s">
        <v>10</v>
      </c>
      <c r="B9" s="27" t="s">
        <v>16</v>
      </c>
      <c r="C9" s="18">
        <v>1564</v>
      </c>
      <c r="D9" s="18">
        <v>2170</v>
      </c>
      <c r="E9" s="4">
        <f t="shared" si="0"/>
        <v>3734</v>
      </c>
    </row>
    <row r="10" spans="1:5">
      <c r="A10" s="22" t="s">
        <v>10</v>
      </c>
      <c r="B10" s="27" t="s">
        <v>17</v>
      </c>
      <c r="C10" s="18">
        <v>11873</v>
      </c>
      <c r="D10" s="18">
        <v>11722</v>
      </c>
      <c r="E10" s="4">
        <f t="shared" si="0"/>
        <v>23595</v>
      </c>
    </row>
    <row r="11" spans="1:5">
      <c r="A11" s="22" t="s">
        <v>10</v>
      </c>
      <c r="B11" s="27" t="s">
        <v>18</v>
      </c>
      <c r="C11" s="18">
        <v>10580</v>
      </c>
      <c r="D11" s="18">
        <v>12349</v>
      </c>
      <c r="E11" s="4">
        <f t="shared" si="0"/>
        <v>22929</v>
      </c>
    </row>
    <row r="12" spans="1:5">
      <c r="A12" s="22" t="s">
        <v>10</v>
      </c>
      <c r="B12" s="27" t="s">
        <v>19</v>
      </c>
      <c r="C12" s="18">
        <v>1756</v>
      </c>
      <c r="D12" s="18">
        <v>2147</v>
      </c>
      <c r="E12" s="4">
        <f t="shared" si="0"/>
        <v>3903</v>
      </c>
    </row>
    <row r="13" spans="1:5">
      <c r="A13" s="22" t="s">
        <v>10</v>
      </c>
      <c r="B13" s="27" t="s">
        <v>20</v>
      </c>
      <c r="C13" s="18">
        <v>35328</v>
      </c>
      <c r="D13" s="18">
        <v>26475</v>
      </c>
      <c r="E13" s="4">
        <f t="shared" si="0"/>
        <v>61803</v>
      </c>
    </row>
    <row r="14" spans="1:5">
      <c r="A14" s="22" t="s">
        <v>10</v>
      </c>
      <c r="B14" s="27" t="s">
        <v>21</v>
      </c>
      <c r="C14" s="18">
        <v>19012</v>
      </c>
      <c r="D14" s="18">
        <v>22086</v>
      </c>
      <c r="E14" s="4">
        <f t="shared" si="0"/>
        <v>41098</v>
      </c>
    </row>
    <row r="15" spans="1:5">
      <c r="A15" s="22" t="s">
        <v>10</v>
      </c>
      <c r="B15" s="27" t="s">
        <v>22</v>
      </c>
      <c r="C15" s="18">
        <v>5522</v>
      </c>
      <c r="D15" s="18">
        <v>5373</v>
      </c>
      <c r="E15" s="4">
        <f t="shared" si="0"/>
        <v>10895</v>
      </c>
    </row>
    <row r="16" spans="1:5">
      <c r="A16" s="22" t="s">
        <v>10</v>
      </c>
      <c r="B16" s="27" t="s">
        <v>23</v>
      </c>
      <c r="C16" s="18">
        <v>6638</v>
      </c>
      <c r="D16" s="18">
        <v>4725</v>
      </c>
      <c r="E16" s="4">
        <f t="shared" si="0"/>
        <v>11363</v>
      </c>
    </row>
    <row r="17" spans="1:5">
      <c r="A17" s="22" t="s">
        <v>10</v>
      </c>
      <c r="B17" s="27" t="s">
        <v>24</v>
      </c>
      <c r="C17" s="18">
        <v>9932</v>
      </c>
      <c r="D17" s="18">
        <v>5157</v>
      </c>
      <c r="E17" s="4">
        <f t="shared" si="0"/>
        <v>15089</v>
      </c>
    </row>
    <row r="18" spans="1:5">
      <c r="A18" s="22" t="s">
        <v>10</v>
      </c>
      <c r="B18" s="27" t="s">
        <v>25</v>
      </c>
      <c r="C18" s="18">
        <v>79227</v>
      </c>
      <c r="D18" s="18">
        <v>71658</v>
      </c>
      <c r="E18" s="4">
        <f t="shared" si="0"/>
        <v>150885</v>
      </c>
    </row>
    <row r="19" spans="1:5">
      <c r="A19" s="22" t="s">
        <v>10</v>
      </c>
      <c r="B19" s="27" t="s">
        <v>26</v>
      </c>
      <c r="C19" s="18">
        <v>23516</v>
      </c>
      <c r="D19" s="18">
        <v>39339</v>
      </c>
      <c r="E19" s="4">
        <f t="shared" si="0"/>
        <v>62855</v>
      </c>
    </row>
    <row r="20" spans="1:5">
      <c r="A20" s="22" t="s">
        <v>10</v>
      </c>
      <c r="B20" s="27" t="s">
        <v>27</v>
      </c>
      <c r="C20" s="18">
        <v>159</v>
      </c>
      <c r="D20" s="18">
        <v>115</v>
      </c>
      <c r="E20" s="4">
        <f t="shared" si="0"/>
        <v>274</v>
      </c>
    </row>
    <row r="21" spans="1:5">
      <c r="A21" s="22" t="s">
        <v>10</v>
      </c>
      <c r="B21" s="27" t="s">
        <v>28</v>
      </c>
      <c r="C21" s="18">
        <v>5</v>
      </c>
      <c r="D21" s="18">
        <v>5</v>
      </c>
      <c r="E21" s="4">
        <f t="shared" si="0"/>
        <v>10</v>
      </c>
    </row>
    <row r="22" spans="1:5">
      <c r="A22" s="22" t="s">
        <v>10</v>
      </c>
      <c r="B22" s="27" t="s">
        <v>29</v>
      </c>
      <c r="C22" s="18">
        <v>47319</v>
      </c>
      <c r="D22" s="18">
        <v>35142</v>
      </c>
      <c r="E22" s="4">
        <f t="shared" si="0"/>
        <v>82461</v>
      </c>
    </row>
    <row r="23" spans="1:5">
      <c r="A23" s="22" t="s">
        <v>10</v>
      </c>
      <c r="B23" s="27" t="s">
        <v>30</v>
      </c>
      <c r="C23" s="18">
        <v>95779</v>
      </c>
      <c r="D23" s="18">
        <v>71913</v>
      </c>
      <c r="E23" s="4">
        <f t="shared" si="0"/>
        <v>167692</v>
      </c>
    </row>
    <row r="24" spans="1:5">
      <c r="A24" s="22" t="s">
        <v>10</v>
      </c>
      <c r="B24" s="27" t="s">
        <v>31</v>
      </c>
      <c r="C24" s="18">
        <v>3103</v>
      </c>
      <c r="D24" s="18">
        <v>3167</v>
      </c>
      <c r="E24" s="4">
        <f t="shared" si="0"/>
        <v>6270</v>
      </c>
    </row>
    <row r="25" spans="1:5">
      <c r="A25" s="22" t="s">
        <v>10</v>
      </c>
      <c r="B25" s="27" t="s">
        <v>32</v>
      </c>
      <c r="C25" s="18">
        <v>1630</v>
      </c>
      <c r="D25" s="18">
        <v>2175</v>
      </c>
      <c r="E25" s="4">
        <f t="shared" si="0"/>
        <v>3805</v>
      </c>
    </row>
    <row r="26" spans="1:5">
      <c r="A26" s="22" t="s">
        <v>10</v>
      </c>
      <c r="B26" s="27" t="s">
        <v>33</v>
      </c>
      <c r="C26" s="18">
        <v>1168</v>
      </c>
      <c r="D26" s="18">
        <v>1042</v>
      </c>
      <c r="E26" s="4">
        <f t="shared" si="0"/>
        <v>2210</v>
      </c>
    </row>
    <row r="27" spans="1:5">
      <c r="A27" s="22" t="s">
        <v>10</v>
      </c>
      <c r="B27" s="27" t="s">
        <v>34</v>
      </c>
      <c r="C27" s="18">
        <v>1087</v>
      </c>
      <c r="D27" s="18">
        <v>1452</v>
      </c>
      <c r="E27" s="4">
        <f t="shared" si="0"/>
        <v>2539</v>
      </c>
    </row>
    <row r="28" spans="1:5">
      <c r="A28" s="22" t="s">
        <v>10</v>
      </c>
      <c r="B28" s="27" t="s">
        <v>35</v>
      </c>
      <c r="C28" s="18">
        <v>26664</v>
      </c>
      <c r="D28" s="18">
        <v>17066</v>
      </c>
      <c r="E28" s="4">
        <f t="shared" si="0"/>
        <v>43730</v>
      </c>
    </row>
    <row r="29" spans="1:5">
      <c r="A29" s="22" t="s">
        <v>10</v>
      </c>
      <c r="B29" s="27" t="s">
        <v>36</v>
      </c>
      <c r="C29" s="18">
        <v>3562</v>
      </c>
      <c r="D29" s="18">
        <v>3032</v>
      </c>
      <c r="E29" s="4">
        <f t="shared" si="0"/>
        <v>6594</v>
      </c>
    </row>
    <row r="30" spans="1:5">
      <c r="A30" s="22" t="s">
        <v>10</v>
      </c>
      <c r="B30" s="27" t="s">
        <v>37</v>
      </c>
      <c r="C30" s="18">
        <v>20185</v>
      </c>
      <c r="D30" s="18">
        <v>30807</v>
      </c>
      <c r="E30" s="4">
        <f t="shared" si="0"/>
        <v>50992</v>
      </c>
    </row>
    <row r="31" spans="1:5">
      <c r="A31" s="22" t="s">
        <v>10</v>
      </c>
      <c r="B31" s="27" t="s">
        <v>38</v>
      </c>
      <c r="C31" s="18">
        <v>53083</v>
      </c>
      <c r="D31" s="18">
        <v>30109</v>
      </c>
      <c r="E31" s="4">
        <f t="shared" si="0"/>
        <v>83192</v>
      </c>
    </row>
    <row r="32" spans="1:5">
      <c r="A32" s="22" t="s">
        <v>10</v>
      </c>
      <c r="B32" s="27" t="s">
        <v>39</v>
      </c>
      <c r="C32" s="18">
        <v>891</v>
      </c>
      <c r="D32" s="18">
        <v>618</v>
      </c>
      <c r="E32" s="4">
        <f t="shared" si="0"/>
        <v>1509</v>
      </c>
    </row>
    <row r="33" spans="1:5">
      <c r="A33" s="22" t="s">
        <v>10</v>
      </c>
      <c r="B33" s="27" t="s">
        <v>40</v>
      </c>
      <c r="C33" s="18">
        <v>103416</v>
      </c>
      <c r="D33" s="18">
        <v>105320</v>
      </c>
      <c r="E33" s="4">
        <f t="shared" si="0"/>
        <v>208736</v>
      </c>
    </row>
    <row r="34" spans="1:5">
      <c r="A34" s="22" t="s">
        <v>10</v>
      </c>
      <c r="B34" s="27" t="s">
        <v>41</v>
      </c>
      <c r="C34" s="18">
        <v>48570</v>
      </c>
      <c r="D34" s="18">
        <v>35516</v>
      </c>
      <c r="E34" s="4">
        <f t="shared" si="0"/>
        <v>84086</v>
      </c>
    </row>
    <row r="35" spans="1:5">
      <c r="A35" s="22" t="s">
        <v>10</v>
      </c>
      <c r="B35" s="27" t="s">
        <v>42</v>
      </c>
      <c r="C35" s="18">
        <v>354</v>
      </c>
      <c r="D35" s="18">
        <v>281</v>
      </c>
      <c r="E35" s="4">
        <f t="shared" si="0"/>
        <v>635</v>
      </c>
    </row>
    <row r="36" spans="1:5">
      <c r="A36" s="22" t="s">
        <v>10</v>
      </c>
      <c r="B36" s="27" t="s">
        <v>43</v>
      </c>
      <c r="C36" s="18">
        <v>1584</v>
      </c>
      <c r="D36" s="18">
        <v>921</v>
      </c>
      <c r="E36" s="4">
        <f t="shared" si="0"/>
        <v>2505</v>
      </c>
    </row>
    <row r="37" spans="1:5">
      <c r="A37" s="24" t="s">
        <v>10</v>
      </c>
      <c r="B37" s="27" t="s">
        <v>44</v>
      </c>
      <c r="C37" s="18">
        <v>121594</v>
      </c>
      <c r="D37" s="18">
        <v>56599</v>
      </c>
      <c r="E37" s="4">
        <f t="shared" si="0"/>
        <v>178193</v>
      </c>
    </row>
    <row r="38" spans="1:5">
      <c r="A38" s="24" t="s">
        <v>10</v>
      </c>
      <c r="B38" s="27" t="s">
        <v>45</v>
      </c>
      <c r="C38" s="18">
        <v>11718</v>
      </c>
      <c r="D38" s="18">
        <v>7800</v>
      </c>
      <c r="E38" s="4">
        <f t="shared" si="0"/>
        <v>19518</v>
      </c>
    </row>
    <row r="39" spans="1:5">
      <c r="A39" s="24" t="s">
        <v>10</v>
      </c>
      <c r="B39" s="27" t="s">
        <v>46</v>
      </c>
      <c r="C39" s="18">
        <v>46970</v>
      </c>
      <c r="D39" s="18">
        <v>26847</v>
      </c>
      <c r="E39" s="4">
        <f t="shared" si="0"/>
        <v>73817</v>
      </c>
    </row>
    <row r="40" spans="1:5">
      <c r="A40" s="25"/>
      <c r="B40" s="25"/>
      <c r="C40" s="25"/>
      <c r="D40" s="25"/>
      <c r="E40" s="25"/>
    </row>
    <row r="41" spans="1:5">
      <c r="A41" s="22" t="s">
        <v>47</v>
      </c>
      <c r="B41" s="27" t="s">
        <v>11</v>
      </c>
      <c r="C41" s="18">
        <v>59</v>
      </c>
      <c r="D41" s="18">
        <v>67</v>
      </c>
      <c r="E41" s="4">
        <f>SUM(C41:D41)</f>
        <v>126</v>
      </c>
    </row>
    <row r="42" spans="1:5">
      <c r="A42" s="22" t="s">
        <v>47</v>
      </c>
      <c r="B42" s="27" t="s">
        <v>12</v>
      </c>
      <c r="C42" s="26">
        <v>64920</v>
      </c>
      <c r="D42" s="26">
        <v>42589</v>
      </c>
      <c r="E42" s="4">
        <f t="shared" ref="E42:E76" si="1">SUM(C42:D42)</f>
        <v>107509</v>
      </c>
    </row>
    <row r="43" spans="1:5">
      <c r="A43" s="22" t="s">
        <v>47</v>
      </c>
      <c r="B43" s="27" t="s">
        <v>13</v>
      </c>
      <c r="C43" s="26">
        <v>1265</v>
      </c>
      <c r="D43" s="26">
        <v>1068</v>
      </c>
      <c r="E43" s="4">
        <f t="shared" si="1"/>
        <v>2333</v>
      </c>
    </row>
    <row r="44" spans="1:5">
      <c r="A44" s="22" t="s">
        <v>47</v>
      </c>
      <c r="B44" s="27" t="s">
        <v>14</v>
      </c>
      <c r="C44" s="26">
        <v>14772</v>
      </c>
      <c r="D44" s="26">
        <v>11962</v>
      </c>
      <c r="E44" s="4">
        <f t="shared" si="1"/>
        <v>26734</v>
      </c>
    </row>
    <row r="45" spans="1:5">
      <c r="A45" s="22" t="s">
        <v>47</v>
      </c>
      <c r="B45" s="27" t="s">
        <v>15</v>
      </c>
      <c r="C45" s="26">
        <v>30628</v>
      </c>
      <c r="D45" s="26">
        <v>10569</v>
      </c>
      <c r="E45" s="4">
        <f t="shared" si="1"/>
        <v>41197</v>
      </c>
    </row>
    <row r="46" spans="1:5">
      <c r="A46" s="22" t="s">
        <v>47</v>
      </c>
      <c r="B46" s="27" t="s">
        <v>16</v>
      </c>
      <c r="C46" s="26">
        <v>1556</v>
      </c>
      <c r="D46" s="26">
        <v>2162</v>
      </c>
      <c r="E46" s="4">
        <f t="shared" si="1"/>
        <v>3718</v>
      </c>
    </row>
    <row r="47" spans="1:5">
      <c r="A47" s="22" t="s">
        <v>47</v>
      </c>
      <c r="B47" s="27" t="s">
        <v>17</v>
      </c>
      <c r="C47" s="26">
        <v>12471</v>
      </c>
      <c r="D47" s="26">
        <v>12431</v>
      </c>
      <c r="E47" s="4">
        <f t="shared" si="1"/>
        <v>24902</v>
      </c>
    </row>
    <row r="48" spans="1:5">
      <c r="A48" s="22" t="s">
        <v>47</v>
      </c>
      <c r="B48" s="27" t="s">
        <v>18</v>
      </c>
      <c r="C48" s="26">
        <v>10724</v>
      </c>
      <c r="D48" s="26">
        <v>12698</v>
      </c>
      <c r="E48" s="4">
        <f t="shared" si="1"/>
        <v>23422</v>
      </c>
    </row>
    <row r="49" spans="1:5">
      <c r="A49" s="22" t="s">
        <v>47</v>
      </c>
      <c r="B49" s="27" t="s">
        <v>19</v>
      </c>
      <c r="C49" s="26">
        <v>1776</v>
      </c>
      <c r="D49" s="26">
        <v>2243</v>
      </c>
      <c r="E49" s="4">
        <f t="shared" si="1"/>
        <v>4019</v>
      </c>
    </row>
    <row r="50" spans="1:5">
      <c r="A50" s="22" t="s">
        <v>47</v>
      </c>
      <c r="B50" s="27" t="s">
        <v>20</v>
      </c>
      <c r="C50" s="26">
        <v>36939</v>
      </c>
      <c r="D50" s="26">
        <v>29312</v>
      </c>
      <c r="E50" s="4">
        <f t="shared" si="1"/>
        <v>66251</v>
      </c>
    </row>
    <row r="51" spans="1:5">
      <c r="A51" s="22" t="s">
        <v>47</v>
      </c>
      <c r="B51" s="27" t="s">
        <v>21</v>
      </c>
      <c r="C51" s="26">
        <v>20064</v>
      </c>
      <c r="D51" s="26">
        <v>23483</v>
      </c>
      <c r="E51" s="4">
        <f t="shared" si="1"/>
        <v>43547</v>
      </c>
    </row>
    <row r="52" spans="1:5">
      <c r="A52" s="22" t="s">
        <v>47</v>
      </c>
      <c r="B52" s="27" t="s">
        <v>22</v>
      </c>
      <c r="C52" s="26">
        <v>5415</v>
      </c>
      <c r="D52" s="26">
        <v>5386</v>
      </c>
      <c r="E52" s="4">
        <f t="shared" si="1"/>
        <v>10801</v>
      </c>
    </row>
    <row r="53" spans="1:5">
      <c r="A53" s="22" t="s">
        <v>47</v>
      </c>
      <c r="B53" s="27" t="s">
        <v>23</v>
      </c>
      <c r="C53" s="26">
        <v>6868</v>
      </c>
      <c r="D53" s="26">
        <v>4900</v>
      </c>
      <c r="E53" s="4">
        <f t="shared" si="1"/>
        <v>11768</v>
      </c>
    </row>
    <row r="54" spans="1:5">
      <c r="A54" s="22" t="s">
        <v>47</v>
      </c>
      <c r="B54" s="27" t="s">
        <v>24</v>
      </c>
      <c r="C54" s="26">
        <v>10829</v>
      </c>
      <c r="D54" s="26">
        <v>6203</v>
      </c>
      <c r="E54" s="4">
        <f t="shared" si="1"/>
        <v>17032</v>
      </c>
    </row>
    <row r="55" spans="1:5">
      <c r="A55" s="22" t="s">
        <v>47</v>
      </c>
      <c r="B55" s="27" t="s">
        <v>25</v>
      </c>
      <c r="C55" s="26">
        <v>77894</v>
      </c>
      <c r="D55" s="26">
        <v>73610</v>
      </c>
      <c r="E55" s="4">
        <f t="shared" si="1"/>
        <v>151504</v>
      </c>
    </row>
    <row r="56" spans="1:5">
      <c r="A56" s="22" t="s">
        <v>47</v>
      </c>
      <c r="B56" s="27" t="s">
        <v>26</v>
      </c>
      <c r="C56" s="26">
        <v>24055</v>
      </c>
      <c r="D56" s="26">
        <v>42208</v>
      </c>
      <c r="E56" s="4">
        <f t="shared" si="1"/>
        <v>66263</v>
      </c>
    </row>
    <row r="57" spans="1:5">
      <c r="A57" s="22" t="s">
        <v>47</v>
      </c>
      <c r="B57" s="27" t="s">
        <v>27</v>
      </c>
      <c r="C57" s="18">
        <v>202</v>
      </c>
      <c r="D57" s="18">
        <v>111</v>
      </c>
      <c r="E57" s="4">
        <f t="shared" si="1"/>
        <v>313</v>
      </c>
    </row>
    <row r="58" spans="1:5">
      <c r="A58" s="22" t="s">
        <v>47</v>
      </c>
      <c r="B58" s="27" t="s">
        <v>28</v>
      </c>
      <c r="C58" s="18">
        <v>34</v>
      </c>
      <c r="D58" s="18">
        <v>25</v>
      </c>
      <c r="E58" s="4">
        <f t="shared" si="1"/>
        <v>59</v>
      </c>
    </row>
    <row r="59" spans="1:5">
      <c r="A59" s="22" t="s">
        <v>47</v>
      </c>
      <c r="B59" s="27" t="s">
        <v>29</v>
      </c>
      <c r="C59" s="26">
        <v>48798</v>
      </c>
      <c r="D59" s="26">
        <v>36866</v>
      </c>
      <c r="E59" s="4">
        <f t="shared" si="1"/>
        <v>85664</v>
      </c>
    </row>
    <row r="60" spans="1:5">
      <c r="A60" s="22" t="s">
        <v>47</v>
      </c>
      <c r="B60" s="27" t="s">
        <v>30</v>
      </c>
      <c r="C60" s="26">
        <v>99125</v>
      </c>
      <c r="D60" s="26">
        <v>79153</v>
      </c>
      <c r="E60" s="4">
        <f t="shared" si="1"/>
        <v>178278</v>
      </c>
    </row>
    <row r="61" spans="1:5">
      <c r="A61" s="22" t="s">
        <v>47</v>
      </c>
      <c r="B61" s="27" t="s">
        <v>31</v>
      </c>
      <c r="C61" s="26">
        <v>3339</v>
      </c>
      <c r="D61" s="26">
        <v>3336</v>
      </c>
      <c r="E61" s="4">
        <f t="shared" si="1"/>
        <v>6675</v>
      </c>
    </row>
    <row r="62" spans="1:5">
      <c r="A62" s="22" t="s">
        <v>47</v>
      </c>
      <c r="B62" s="27" t="s">
        <v>32</v>
      </c>
      <c r="C62" s="26">
        <v>1717</v>
      </c>
      <c r="D62" s="26">
        <v>2351</v>
      </c>
      <c r="E62" s="4">
        <f t="shared" si="1"/>
        <v>4068</v>
      </c>
    </row>
    <row r="63" spans="1:5">
      <c r="A63" s="22" t="s">
        <v>47</v>
      </c>
      <c r="B63" s="27" t="s">
        <v>33</v>
      </c>
      <c r="C63" s="26">
        <v>1181</v>
      </c>
      <c r="D63" s="26">
        <v>1092</v>
      </c>
      <c r="E63" s="4">
        <f t="shared" si="1"/>
        <v>2273</v>
      </c>
    </row>
    <row r="64" spans="1:5">
      <c r="A64" s="22" t="s">
        <v>47</v>
      </c>
      <c r="B64" s="27" t="s">
        <v>34</v>
      </c>
      <c r="C64" s="26">
        <v>1113</v>
      </c>
      <c r="D64" s="26">
        <v>1570</v>
      </c>
      <c r="E64" s="4">
        <f t="shared" si="1"/>
        <v>2683</v>
      </c>
    </row>
    <row r="65" spans="1:5">
      <c r="A65" s="22" t="s">
        <v>47</v>
      </c>
      <c r="B65" s="27" t="s">
        <v>35</v>
      </c>
      <c r="C65" s="26">
        <v>27444</v>
      </c>
      <c r="D65" s="26">
        <v>18397</v>
      </c>
      <c r="E65" s="4">
        <f t="shared" si="1"/>
        <v>45841</v>
      </c>
    </row>
    <row r="66" spans="1:5">
      <c r="A66" s="22" t="s">
        <v>47</v>
      </c>
      <c r="B66" s="27" t="s">
        <v>36</v>
      </c>
      <c r="C66" s="26">
        <v>3846</v>
      </c>
      <c r="D66" s="26">
        <v>3373</v>
      </c>
      <c r="E66" s="4">
        <f t="shared" si="1"/>
        <v>7219</v>
      </c>
    </row>
    <row r="67" spans="1:5">
      <c r="A67" s="22" t="s">
        <v>47</v>
      </c>
      <c r="B67" s="27" t="s">
        <v>37</v>
      </c>
      <c r="C67" s="26">
        <v>19824</v>
      </c>
      <c r="D67" s="26">
        <v>31407</v>
      </c>
      <c r="E67" s="4">
        <f t="shared" si="1"/>
        <v>51231</v>
      </c>
    </row>
    <row r="68" spans="1:5">
      <c r="A68" s="22" t="s">
        <v>47</v>
      </c>
      <c r="B68" s="27" t="s">
        <v>38</v>
      </c>
      <c r="C68" s="26">
        <v>55991</v>
      </c>
      <c r="D68" s="26">
        <v>31584</v>
      </c>
      <c r="E68" s="4">
        <f t="shared" si="1"/>
        <v>87575</v>
      </c>
    </row>
    <row r="69" spans="1:5">
      <c r="A69" s="22" t="s">
        <v>47</v>
      </c>
      <c r="B69" s="27" t="s">
        <v>39</v>
      </c>
      <c r="C69" s="18">
        <v>907</v>
      </c>
      <c r="D69" s="18">
        <v>665</v>
      </c>
      <c r="E69" s="4">
        <f t="shared" si="1"/>
        <v>1572</v>
      </c>
    </row>
    <row r="70" spans="1:5">
      <c r="A70" s="22" t="s">
        <v>47</v>
      </c>
      <c r="B70" s="27" t="s">
        <v>40</v>
      </c>
      <c r="C70" s="26">
        <v>104549</v>
      </c>
      <c r="D70" s="26">
        <v>110678</v>
      </c>
      <c r="E70" s="4">
        <f t="shared" si="1"/>
        <v>215227</v>
      </c>
    </row>
    <row r="71" spans="1:5">
      <c r="A71" s="22" t="s">
        <v>47</v>
      </c>
      <c r="B71" s="27" t="s">
        <v>41</v>
      </c>
      <c r="C71" s="26">
        <v>46541</v>
      </c>
      <c r="D71" s="26">
        <v>36211</v>
      </c>
      <c r="E71" s="4">
        <f t="shared" si="1"/>
        <v>82752</v>
      </c>
    </row>
    <row r="72" spans="1:5">
      <c r="A72" s="22" t="s">
        <v>47</v>
      </c>
      <c r="B72" s="27" t="s">
        <v>42</v>
      </c>
      <c r="C72" s="18">
        <v>359</v>
      </c>
      <c r="D72" s="18">
        <v>313</v>
      </c>
      <c r="E72" s="4">
        <f t="shared" si="1"/>
        <v>672</v>
      </c>
    </row>
    <row r="73" spans="1:5">
      <c r="A73" s="22" t="s">
        <v>47</v>
      </c>
      <c r="B73" s="27" t="s">
        <v>43</v>
      </c>
      <c r="C73" s="26">
        <v>1772</v>
      </c>
      <c r="D73" s="26">
        <v>1047</v>
      </c>
      <c r="E73" s="4">
        <f t="shared" si="1"/>
        <v>2819</v>
      </c>
    </row>
    <row r="74" spans="1:5">
      <c r="A74" s="4" t="s">
        <v>47</v>
      </c>
      <c r="B74" s="27" t="s">
        <v>44</v>
      </c>
      <c r="C74" s="26">
        <v>131112</v>
      </c>
      <c r="D74" s="26">
        <v>61610</v>
      </c>
      <c r="E74" s="4">
        <f t="shared" si="1"/>
        <v>192722</v>
      </c>
    </row>
    <row r="75" spans="1:5">
      <c r="A75" s="4" t="s">
        <v>47</v>
      </c>
      <c r="B75" s="27" t="s">
        <v>45</v>
      </c>
      <c r="C75" s="26">
        <v>11499</v>
      </c>
      <c r="D75" s="26">
        <v>7980</v>
      </c>
      <c r="E75" s="4">
        <f t="shared" si="1"/>
        <v>19479</v>
      </c>
    </row>
    <row r="76" spans="1:5">
      <c r="A76" s="4" t="s">
        <v>47</v>
      </c>
      <c r="B76" s="27" t="s">
        <v>46</v>
      </c>
      <c r="C76" s="26">
        <v>47806</v>
      </c>
      <c r="D76" s="26">
        <v>28118</v>
      </c>
      <c r="E76" s="4">
        <f t="shared" si="1"/>
        <v>75924</v>
      </c>
    </row>
    <row r="77" spans="1:5">
      <c r="A77" s="25"/>
      <c r="B77" s="25"/>
      <c r="C77" s="25"/>
      <c r="D77" s="25"/>
      <c r="E77" s="25"/>
    </row>
    <row r="78" spans="1:5">
      <c r="A78" s="22" t="s">
        <v>48</v>
      </c>
      <c r="B78" s="27" t="s">
        <v>11</v>
      </c>
      <c r="C78" s="18">
        <v>64</v>
      </c>
      <c r="D78" s="18">
        <v>75</v>
      </c>
      <c r="E78" s="4">
        <f>SUM(C78:D78)</f>
        <v>139</v>
      </c>
    </row>
    <row r="79" spans="1:5">
      <c r="A79" s="22" t="s">
        <v>48</v>
      </c>
      <c r="B79" s="27" t="s">
        <v>12</v>
      </c>
      <c r="C79" s="26">
        <v>63742</v>
      </c>
      <c r="D79" s="26">
        <v>44612</v>
      </c>
      <c r="E79" s="4">
        <f t="shared" ref="E79:E113" si="2">SUM(C79:D79)</f>
        <v>108354</v>
      </c>
    </row>
    <row r="80" spans="1:5">
      <c r="A80" s="22" t="s">
        <v>48</v>
      </c>
      <c r="B80" s="27" t="s">
        <v>13</v>
      </c>
      <c r="C80" s="26">
        <v>1302</v>
      </c>
      <c r="D80" s="26">
        <v>1088</v>
      </c>
      <c r="E80" s="4">
        <f t="shared" si="2"/>
        <v>2390</v>
      </c>
    </row>
    <row r="81" spans="1:5">
      <c r="A81" s="22" t="s">
        <v>48</v>
      </c>
      <c r="B81" s="27" t="s">
        <v>14</v>
      </c>
      <c r="C81" s="26">
        <v>15236</v>
      </c>
      <c r="D81" s="26">
        <v>12847</v>
      </c>
      <c r="E81" s="4">
        <f t="shared" si="2"/>
        <v>28083</v>
      </c>
    </row>
    <row r="82" spans="1:5">
      <c r="A82" s="22" t="s">
        <v>48</v>
      </c>
      <c r="B82" s="27" t="s">
        <v>15</v>
      </c>
      <c r="C82" s="26">
        <v>32783</v>
      </c>
      <c r="D82" s="26">
        <v>12371</v>
      </c>
      <c r="E82" s="4">
        <f t="shared" si="2"/>
        <v>45154</v>
      </c>
    </row>
    <row r="83" spans="1:5">
      <c r="A83" s="22" t="s">
        <v>48</v>
      </c>
      <c r="B83" s="27" t="s">
        <v>16</v>
      </c>
      <c r="C83" s="26">
        <v>1494</v>
      </c>
      <c r="D83" s="26">
        <v>2116</v>
      </c>
      <c r="E83" s="4">
        <f t="shared" si="2"/>
        <v>3610</v>
      </c>
    </row>
    <row r="84" spans="1:5">
      <c r="A84" s="22" t="s">
        <v>48</v>
      </c>
      <c r="B84" s="27" t="s">
        <v>17</v>
      </c>
      <c r="C84" s="26">
        <v>12986</v>
      </c>
      <c r="D84" s="26">
        <v>13013</v>
      </c>
      <c r="E84" s="4">
        <f t="shared" si="2"/>
        <v>25999</v>
      </c>
    </row>
    <row r="85" spans="1:5">
      <c r="A85" s="22" t="s">
        <v>48</v>
      </c>
      <c r="B85" s="27" t="s">
        <v>18</v>
      </c>
      <c r="C85" s="26">
        <v>11320</v>
      </c>
      <c r="D85" s="26">
        <v>13057</v>
      </c>
      <c r="E85" s="4">
        <f t="shared" si="2"/>
        <v>24377</v>
      </c>
    </row>
    <row r="86" spans="1:5">
      <c r="A86" s="22" t="s">
        <v>48</v>
      </c>
      <c r="B86" s="27" t="s">
        <v>19</v>
      </c>
      <c r="C86" s="26">
        <v>1839</v>
      </c>
      <c r="D86" s="26">
        <v>2397</v>
      </c>
      <c r="E86" s="4">
        <f t="shared" si="2"/>
        <v>4236</v>
      </c>
    </row>
    <row r="87" spans="1:5">
      <c r="A87" s="22" t="s">
        <v>48</v>
      </c>
      <c r="B87" s="27" t="s">
        <v>20</v>
      </c>
      <c r="C87" s="26">
        <v>37986</v>
      </c>
      <c r="D87" s="26">
        <v>31261</v>
      </c>
      <c r="E87" s="4">
        <f t="shared" si="2"/>
        <v>69247</v>
      </c>
    </row>
    <row r="88" spans="1:5">
      <c r="A88" s="22" t="s">
        <v>48</v>
      </c>
      <c r="B88" s="27" t="s">
        <v>21</v>
      </c>
      <c r="C88" s="26">
        <v>20592</v>
      </c>
      <c r="D88" s="26">
        <v>24336</v>
      </c>
      <c r="E88" s="4">
        <f t="shared" si="2"/>
        <v>44928</v>
      </c>
    </row>
    <row r="89" spans="1:5">
      <c r="A89" s="22" t="s">
        <v>48</v>
      </c>
      <c r="B89" s="27" t="s">
        <v>22</v>
      </c>
      <c r="C89" s="26">
        <v>5679</v>
      </c>
      <c r="D89" s="26">
        <v>5668</v>
      </c>
      <c r="E89" s="4">
        <f t="shared" si="2"/>
        <v>11347</v>
      </c>
    </row>
    <row r="90" spans="1:5">
      <c r="A90" s="22" t="s">
        <v>48</v>
      </c>
      <c r="B90" s="27" t="s">
        <v>23</v>
      </c>
      <c r="C90" s="26">
        <v>6938</v>
      </c>
      <c r="D90" s="26">
        <v>5078</v>
      </c>
      <c r="E90" s="4">
        <f t="shared" si="2"/>
        <v>12016</v>
      </c>
    </row>
    <row r="91" spans="1:5">
      <c r="A91" s="22" t="s">
        <v>48</v>
      </c>
      <c r="B91" s="27" t="s">
        <v>24</v>
      </c>
      <c r="C91" s="26">
        <v>11468</v>
      </c>
      <c r="D91" s="26">
        <v>6712</v>
      </c>
      <c r="E91" s="4">
        <f t="shared" si="2"/>
        <v>18180</v>
      </c>
    </row>
    <row r="92" spans="1:5">
      <c r="A92" s="22" t="s">
        <v>48</v>
      </c>
      <c r="B92" s="27" t="s">
        <v>25</v>
      </c>
      <c r="C92" s="26">
        <v>78938</v>
      </c>
      <c r="D92" s="26">
        <v>77224</v>
      </c>
      <c r="E92" s="4">
        <f t="shared" si="2"/>
        <v>156162</v>
      </c>
    </row>
    <row r="93" spans="1:5">
      <c r="A93" s="22" t="s">
        <v>48</v>
      </c>
      <c r="B93" s="27" t="s">
        <v>26</v>
      </c>
      <c r="C93" s="26">
        <v>24047</v>
      </c>
      <c r="D93" s="26">
        <v>43676</v>
      </c>
      <c r="E93" s="4">
        <f t="shared" si="2"/>
        <v>67723</v>
      </c>
    </row>
    <row r="94" spans="1:5">
      <c r="A94" s="22" t="s">
        <v>48</v>
      </c>
      <c r="B94" s="27" t="s">
        <v>27</v>
      </c>
      <c r="C94" s="18">
        <v>213</v>
      </c>
      <c r="D94" s="18">
        <v>139</v>
      </c>
      <c r="E94" s="4">
        <f t="shared" si="2"/>
        <v>352</v>
      </c>
    </row>
    <row r="95" spans="1:5">
      <c r="A95" s="22" t="s">
        <v>48</v>
      </c>
      <c r="B95" s="27" t="s">
        <v>28</v>
      </c>
      <c r="C95" s="18">
        <v>34</v>
      </c>
      <c r="D95" s="18">
        <v>33</v>
      </c>
      <c r="E95" s="4">
        <f t="shared" si="2"/>
        <v>67</v>
      </c>
    </row>
    <row r="96" spans="1:5">
      <c r="A96" s="22" t="s">
        <v>48</v>
      </c>
      <c r="B96" s="27" t="s">
        <v>29</v>
      </c>
      <c r="C96" s="26">
        <v>50979</v>
      </c>
      <c r="D96" s="26">
        <v>38861</v>
      </c>
      <c r="E96" s="4">
        <f t="shared" si="2"/>
        <v>89840</v>
      </c>
    </row>
    <row r="97" spans="1:5">
      <c r="A97" s="22" t="s">
        <v>48</v>
      </c>
      <c r="B97" s="27" t="s">
        <v>30</v>
      </c>
      <c r="C97" s="26">
        <v>101597</v>
      </c>
      <c r="D97" s="26">
        <v>84868</v>
      </c>
      <c r="E97" s="4">
        <f t="shared" si="2"/>
        <v>186465</v>
      </c>
    </row>
    <row r="98" spans="1:5">
      <c r="A98" s="22" t="s">
        <v>48</v>
      </c>
      <c r="B98" s="27" t="s">
        <v>31</v>
      </c>
      <c r="C98" s="26">
        <v>3340</v>
      </c>
      <c r="D98" s="26">
        <v>3505</v>
      </c>
      <c r="E98" s="4">
        <f t="shared" si="2"/>
        <v>6845</v>
      </c>
    </row>
    <row r="99" spans="1:5">
      <c r="A99" s="22" t="s">
        <v>48</v>
      </c>
      <c r="B99" s="27" t="s">
        <v>32</v>
      </c>
      <c r="C99" s="26">
        <v>1796</v>
      </c>
      <c r="D99" s="26">
        <v>2417</v>
      </c>
      <c r="E99" s="4">
        <f t="shared" si="2"/>
        <v>4213</v>
      </c>
    </row>
    <row r="100" spans="1:5">
      <c r="A100" s="22" t="s">
        <v>48</v>
      </c>
      <c r="B100" s="27" t="s">
        <v>33</v>
      </c>
      <c r="C100" s="26">
        <v>1157</v>
      </c>
      <c r="D100" s="26">
        <v>1134</v>
      </c>
      <c r="E100" s="4">
        <f t="shared" si="2"/>
        <v>2291</v>
      </c>
    </row>
    <row r="101" spans="1:5">
      <c r="A101" s="22" t="s">
        <v>48</v>
      </c>
      <c r="B101" s="27" t="s">
        <v>34</v>
      </c>
      <c r="C101" s="26">
        <v>1182</v>
      </c>
      <c r="D101" s="26">
        <v>1690</v>
      </c>
      <c r="E101" s="4">
        <f t="shared" si="2"/>
        <v>2872</v>
      </c>
    </row>
    <row r="102" spans="1:5">
      <c r="A102" s="22" t="s">
        <v>48</v>
      </c>
      <c r="B102" s="27" t="s">
        <v>35</v>
      </c>
      <c r="C102" s="26">
        <v>28754</v>
      </c>
      <c r="D102" s="26">
        <v>20607</v>
      </c>
      <c r="E102" s="4">
        <f t="shared" si="2"/>
        <v>49361</v>
      </c>
    </row>
    <row r="103" spans="1:5">
      <c r="A103" s="22" t="s">
        <v>48</v>
      </c>
      <c r="B103" s="27" t="s">
        <v>36</v>
      </c>
      <c r="C103" s="26">
        <v>4325</v>
      </c>
      <c r="D103" s="26">
        <v>3921</v>
      </c>
      <c r="E103" s="4">
        <f t="shared" si="2"/>
        <v>8246</v>
      </c>
    </row>
    <row r="104" spans="1:5">
      <c r="A104" s="22" t="s">
        <v>48</v>
      </c>
      <c r="B104" s="27" t="s">
        <v>37</v>
      </c>
      <c r="C104" s="26">
        <v>19757</v>
      </c>
      <c r="D104" s="26">
        <v>32082</v>
      </c>
      <c r="E104" s="4">
        <f t="shared" si="2"/>
        <v>51839</v>
      </c>
    </row>
    <row r="105" spans="1:5">
      <c r="A105" s="22" t="s">
        <v>48</v>
      </c>
      <c r="B105" s="27" t="s">
        <v>38</v>
      </c>
      <c r="C105" s="26">
        <v>58910</v>
      </c>
      <c r="D105" s="26">
        <v>33010</v>
      </c>
      <c r="E105" s="4">
        <f t="shared" si="2"/>
        <v>91920</v>
      </c>
    </row>
    <row r="106" spans="1:5">
      <c r="A106" s="22" t="s">
        <v>48</v>
      </c>
      <c r="B106" s="27" t="s">
        <v>39</v>
      </c>
      <c r="C106" s="18">
        <v>958</v>
      </c>
      <c r="D106" s="18">
        <v>735</v>
      </c>
      <c r="E106" s="4">
        <f t="shared" si="2"/>
        <v>1693</v>
      </c>
    </row>
    <row r="107" spans="1:5">
      <c r="A107" s="22" t="s">
        <v>48</v>
      </c>
      <c r="B107" s="27" t="s">
        <v>40</v>
      </c>
      <c r="C107" s="26">
        <v>103450</v>
      </c>
      <c r="D107" s="26">
        <v>115206</v>
      </c>
      <c r="E107" s="4">
        <f t="shared" si="2"/>
        <v>218656</v>
      </c>
    </row>
    <row r="108" spans="1:5">
      <c r="A108" s="22" t="s">
        <v>48</v>
      </c>
      <c r="B108" s="27" t="s">
        <v>41</v>
      </c>
      <c r="C108" s="26">
        <v>46360</v>
      </c>
      <c r="D108" s="26">
        <v>38208</v>
      </c>
      <c r="E108" s="4">
        <f t="shared" si="2"/>
        <v>84568</v>
      </c>
    </row>
    <row r="109" spans="1:5">
      <c r="A109" s="22" t="s">
        <v>48</v>
      </c>
      <c r="B109" s="27" t="s">
        <v>42</v>
      </c>
      <c r="C109" s="18">
        <v>336</v>
      </c>
      <c r="D109" s="18">
        <v>317</v>
      </c>
      <c r="E109" s="4">
        <f t="shared" si="2"/>
        <v>653</v>
      </c>
    </row>
    <row r="110" spans="1:5">
      <c r="A110" s="22" t="s">
        <v>48</v>
      </c>
      <c r="B110" s="27" t="s">
        <v>43</v>
      </c>
      <c r="C110" s="26">
        <v>1872</v>
      </c>
      <c r="D110" s="26">
        <v>1117</v>
      </c>
      <c r="E110" s="4">
        <f t="shared" si="2"/>
        <v>2989</v>
      </c>
    </row>
    <row r="111" spans="1:5">
      <c r="A111" s="4" t="s">
        <v>48</v>
      </c>
      <c r="B111" s="27" t="s">
        <v>44</v>
      </c>
      <c r="C111" s="26">
        <v>141920</v>
      </c>
      <c r="D111" s="26">
        <v>67292</v>
      </c>
      <c r="E111" s="4">
        <f t="shared" si="2"/>
        <v>209212</v>
      </c>
    </row>
    <row r="112" spans="1:5">
      <c r="A112" s="4" t="s">
        <v>48</v>
      </c>
      <c r="B112" s="27" t="s">
        <v>45</v>
      </c>
      <c r="C112" s="26">
        <v>11793</v>
      </c>
      <c r="D112" s="26">
        <v>8271</v>
      </c>
      <c r="E112" s="4">
        <f t="shared" si="2"/>
        <v>20064</v>
      </c>
    </row>
    <row r="113" spans="1:5">
      <c r="A113" s="4" t="s">
        <v>48</v>
      </c>
      <c r="B113" s="27" t="s">
        <v>46</v>
      </c>
      <c r="C113" s="26">
        <v>48960</v>
      </c>
      <c r="D113" s="26">
        <v>29243</v>
      </c>
      <c r="E113" s="4">
        <f t="shared" si="2"/>
        <v>78203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C5C9-1DC7-48BD-A979-5CED9C4F6F55}">
  <dimension ref="A1:G113"/>
  <sheetViews>
    <sheetView workbookViewId="0">
      <selection activeCell="B39" sqref="B39"/>
    </sheetView>
  </sheetViews>
  <sheetFormatPr defaultRowHeight="15"/>
  <cols>
    <col min="1" max="1" width="8" bestFit="1" customWidth="1"/>
    <col min="2" max="2" width="43" bestFit="1" customWidth="1"/>
    <col min="3" max="3" width="15.28515625" bestFit="1" customWidth="1"/>
    <col min="4" max="4" width="17.42578125" bestFit="1" customWidth="1"/>
    <col min="5" max="5" width="15.5703125" bestFit="1" customWidth="1"/>
    <col min="10" max="10" width="17.5703125" bestFit="1" customWidth="1"/>
    <col min="11" max="11" width="19.85546875" bestFit="1" customWidth="1"/>
    <col min="12" max="12" width="11.85546875" bestFit="1" customWidth="1"/>
    <col min="13" max="13" width="11" bestFit="1" customWidth="1"/>
  </cols>
  <sheetData>
    <row r="1" spans="1:7" ht="15" customHeight="1">
      <c r="A1" s="61" t="s">
        <v>61</v>
      </c>
      <c r="B1" s="61"/>
      <c r="C1" s="61"/>
      <c r="D1" s="61"/>
      <c r="E1" s="61"/>
      <c r="F1" s="61"/>
      <c r="G1" s="61"/>
    </row>
    <row r="2" spans="1:7" ht="15" customHeight="1">
      <c r="A2" s="61"/>
      <c r="B2" s="61"/>
      <c r="C2" s="61"/>
      <c r="D2" s="61"/>
      <c r="E2" s="61"/>
      <c r="F2" s="61"/>
      <c r="G2" s="61"/>
    </row>
    <row r="3" spans="1:7" ht="15.75">
      <c r="A3" s="17" t="s">
        <v>2</v>
      </c>
      <c r="B3" s="16" t="s">
        <v>3</v>
      </c>
      <c r="C3" s="15" t="s">
        <v>62</v>
      </c>
      <c r="D3" s="16" t="s">
        <v>63</v>
      </c>
      <c r="E3" s="42" t="s">
        <v>64</v>
      </c>
      <c r="F3" s="13" t="s">
        <v>65</v>
      </c>
      <c r="G3" s="13" t="s">
        <v>66</v>
      </c>
    </row>
    <row r="4" spans="1:7">
      <c r="A4" s="22" t="s">
        <v>10</v>
      </c>
      <c r="B4" s="3" t="s">
        <v>11</v>
      </c>
      <c r="C4" s="48">
        <v>19.8</v>
      </c>
      <c r="D4" s="48">
        <v>25.7</v>
      </c>
      <c r="E4" s="48">
        <v>22.6</v>
      </c>
      <c r="F4" s="48">
        <v>1.3</v>
      </c>
      <c r="G4" s="52">
        <v>26</v>
      </c>
    </row>
    <row r="5" spans="1:7">
      <c r="A5" s="22" t="s">
        <v>10</v>
      </c>
      <c r="B5" s="3" t="s">
        <v>12</v>
      </c>
      <c r="C5" s="48">
        <v>37.700000000000003</v>
      </c>
      <c r="D5" s="48">
        <v>35.200000000000003</v>
      </c>
      <c r="E5" s="48">
        <v>36.5</v>
      </c>
      <c r="F5" s="48">
        <v>0.93</v>
      </c>
      <c r="G5" s="52">
        <v>18</v>
      </c>
    </row>
    <row r="6" spans="1:7">
      <c r="A6" s="22" t="s">
        <v>10</v>
      </c>
      <c r="B6" s="3" t="s">
        <v>13</v>
      </c>
      <c r="C6" s="48">
        <v>38.4</v>
      </c>
      <c r="D6" s="48">
        <v>34.5</v>
      </c>
      <c r="E6" s="48">
        <v>36.5</v>
      </c>
      <c r="F6" s="48">
        <v>0.9</v>
      </c>
      <c r="G6" s="52">
        <v>30</v>
      </c>
    </row>
    <row r="7" spans="1:7">
      <c r="A7" s="22" t="s">
        <v>10</v>
      </c>
      <c r="B7" s="3" t="s">
        <v>14</v>
      </c>
      <c r="C7" s="48">
        <v>16.2</v>
      </c>
      <c r="D7" s="48">
        <v>17.600000000000001</v>
      </c>
      <c r="E7" s="48">
        <v>16.899999999999999</v>
      </c>
      <c r="F7" s="48">
        <v>1.0900000000000001</v>
      </c>
      <c r="G7" s="52">
        <v>28</v>
      </c>
    </row>
    <row r="8" spans="1:7">
      <c r="A8" s="22" t="s">
        <v>10</v>
      </c>
      <c r="B8" s="3" t="s">
        <v>15</v>
      </c>
      <c r="C8" s="48">
        <v>17.8</v>
      </c>
      <c r="D8" s="48">
        <v>16.3</v>
      </c>
      <c r="E8" s="48">
        <v>17.100000000000001</v>
      </c>
      <c r="F8" s="48">
        <v>0.92</v>
      </c>
      <c r="G8" s="52">
        <v>74</v>
      </c>
    </row>
    <row r="9" spans="1:7">
      <c r="A9" s="22" t="s">
        <v>10</v>
      </c>
      <c r="B9" s="3" t="s">
        <v>16</v>
      </c>
      <c r="C9" s="48">
        <v>56.8</v>
      </c>
      <c r="D9" s="48">
        <v>75.400000000000006</v>
      </c>
      <c r="E9" s="48">
        <v>64.8</v>
      </c>
      <c r="F9" s="48">
        <v>1.33</v>
      </c>
      <c r="G9" s="52">
        <v>30</v>
      </c>
    </row>
    <row r="10" spans="1:7">
      <c r="A10" s="22" t="s">
        <v>10</v>
      </c>
      <c r="B10" s="3" t="s">
        <v>17</v>
      </c>
      <c r="C10" s="48">
        <v>17.600000000000001</v>
      </c>
      <c r="D10" s="48">
        <v>21.6</v>
      </c>
      <c r="E10" s="48">
        <v>19.600000000000001</v>
      </c>
      <c r="F10" s="48">
        <v>1.23</v>
      </c>
      <c r="G10" s="52">
        <v>28</v>
      </c>
    </row>
    <row r="11" spans="1:7">
      <c r="A11" s="22" t="s">
        <v>10</v>
      </c>
      <c r="B11" s="3" t="s">
        <v>18</v>
      </c>
      <c r="C11" s="48">
        <v>48.3</v>
      </c>
      <c r="D11" s="48">
        <v>49.7</v>
      </c>
      <c r="E11" s="48">
        <v>49</v>
      </c>
      <c r="F11" s="48">
        <v>1.03</v>
      </c>
      <c r="G11" s="52">
        <v>52</v>
      </c>
    </row>
    <row r="12" spans="1:7">
      <c r="A12" s="22" t="s">
        <v>10</v>
      </c>
      <c r="B12" s="3" t="s">
        <v>19</v>
      </c>
      <c r="C12" s="48">
        <v>36</v>
      </c>
      <c r="D12" s="48">
        <v>35.5</v>
      </c>
      <c r="E12" s="48">
        <v>35.799999999999997</v>
      </c>
      <c r="F12" s="48">
        <v>0.99</v>
      </c>
      <c r="G12" s="52">
        <v>16</v>
      </c>
    </row>
    <row r="13" spans="1:7">
      <c r="A13" s="22" t="s">
        <v>10</v>
      </c>
      <c r="B13" s="3" t="s">
        <v>20</v>
      </c>
      <c r="C13" s="48">
        <v>25.2</v>
      </c>
      <c r="D13" s="48">
        <v>22.7</v>
      </c>
      <c r="E13" s="48">
        <v>24</v>
      </c>
      <c r="F13" s="48">
        <v>0.9</v>
      </c>
      <c r="G13" s="52">
        <v>29</v>
      </c>
    </row>
    <row r="14" spans="1:7">
      <c r="A14" s="22" t="s">
        <v>10</v>
      </c>
      <c r="B14" s="3" t="s">
        <v>21</v>
      </c>
      <c r="C14" s="48">
        <v>30.3</v>
      </c>
      <c r="D14" s="48">
        <v>37</v>
      </c>
      <c r="E14" s="48">
        <v>33.299999999999997</v>
      </c>
      <c r="F14" s="48">
        <v>1.22</v>
      </c>
      <c r="G14" s="52">
        <v>27</v>
      </c>
    </row>
    <row r="15" spans="1:7">
      <c r="A15" s="22" t="s">
        <v>10</v>
      </c>
      <c r="B15" s="3" t="s">
        <v>22</v>
      </c>
      <c r="C15" s="48">
        <v>37.299999999999997</v>
      </c>
      <c r="D15" s="48">
        <v>49.7</v>
      </c>
      <c r="E15" s="48">
        <v>43.1</v>
      </c>
      <c r="F15" s="48">
        <v>1.33</v>
      </c>
      <c r="G15" s="52">
        <v>32</v>
      </c>
    </row>
    <row r="16" spans="1:7">
      <c r="A16" s="22" t="s">
        <v>10</v>
      </c>
      <c r="B16" s="3" t="s">
        <v>23</v>
      </c>
      <c r="C16" s="48">
        <v>22.6</v>
      </c>
      <c r="D16" s="48">
        <v>27.2</v>
      </c>
      <c r="E16" s="48">
        <v>24.8</v>
      </c>
      <c r="F16" s="48">
        <v>1.2</v>
      </c>
      <c r="G16" s="52">
        <v>38</v>
      </c>
    </row>
    <row r="17" spans="1:7">
      <c r="A17" s="22" t="s">
        <v>10</v>
      </c>
      <c r="B17" s="3" t="s">
        <v>24</v>
      </c>
      <c r="C17" s="48">
        <v>18.600000000000001</v>
      </c>
      <c r="D17" s="48">
        <v>18.7</v>
      </c>
      <c r="E17" s="48">
        <v>18.600000000000001</v>
      </c>
      <c r="F17" s="48">
        <v>1.01</v>
      </c>
      <c r="G17" s="52">
        <v>65</v>
      </c>
    </row>
    <row r="18" spans="1:7">
      <c r="A18" s="22" t="s">
        <v>10</v>
      </c>
      <c r="B18" s="3" t="s">
        <v>25</v>
      </c>
      <c r="C18" s="48">
        <v>36.1</v>
      </c>
      <c r="D18" s="48">
        <v>36.299999999999997</v>
      </c>
      <c r="E18" s="48">
        <v>36.200000000000003</v>
      </c>
      <c r="F18" s="48">
        <v>1.01</v>
      </c>
      <c r="G18" s="52">
        <v>16</v>
      </c>
    </row>
    <row r="19" spans="1:7">
      <c r="A19" s="22" t="s">
        <v>10</v>
      </c>
      <c r="B19" s="3" t="s">
        <v>26</v>
      </c>
      <c r="C19" s="48">
        <v>34.1</v>
      </c>
      <c r="D19" s="48">
        <v>49</v>
      </c>
      <c r="E19" s="48">
        <v>41.3</v>
      </c>
      <c r="F19" s="48">
        <v>1.44</v>
      </c>
      <c r="G19" s="52">
        <v>19</v>
      </c>
    </row>
    <row r="20" spans="1:7">
      <c r="A20" s="22" t="s">
        <v>10</v>
      </c>
      <c r="B20" s="3" t="s">
        <v>27</v>
      </c>
      <c r="C20" s="48">
        <v>7.5</v>
      </c>
      <c r="D20" s="48">
        <v>16.399999999999999</v>
      </c>
      <c r="E20" s="48">
        <v>11.5</v>
      </c>
      <c r="F20" s="48">
        <v>2.19</v>
      </c>
      <c r="G20" s="52">
        <v>18</v>
      </c>
    </row>
    <row r="21" spans="1:7">
      <c r="A21" s="22" t="s">
        <v>10</v>
      </c>
      <c r="B21" s="3" t="s">
        <v>28</v>
      </c>
      <c r="C21" s="48">
        <v>0.3</v>
      </c>
      <c r="D21" s="48">
        <v>1.9</v>
      </c>
      <c r="E21" s="48">
        <v>1.1000000000000001</v>
      </c>
      <c r="F21" s="48">
        <v>6.33</v>
      </c>
      <c r="G21" s="52">
        <v>9</v>
      </c>
    </row>
    <row r="22" spans="1:7">
      <c r="A22" s="22" t="s">
        <v>10</v>
      </c>
      <c r="B22" s="3" t="s">
        <v>29</v>
      </c>
      <c r="C22" s="48">
        <v>29.7</v>
      </c>
      <c r="D22" s="48">
        <v>28</v>
      </c>
      <c r="E22" s="48">
        <v>28.9</v>
      </c>
      <c r="F22" s="48">
        <v>0.94</v>
      </c>
      <c r="G22" s="52">
        <v>32</v>
      </c>
    </row>
    <row r="23" spans="1:7">
      <c r="A23" s="22" t="s">
        <v>10</v>
      </c>
      <c r="B23" s="3" t="s">
        <v>30</v>
      </c>
      <c r="C23" s="48">
        <v>37.1</v>
      </c>
      <c r="D23" s="48">
        <v>33.299999999999997</v>
      </c>
      <c r="E23" s="48">
        <v>35.299999999999997</v>
      </c>
      <c r="F23" s="48">
        <v>0.9</v>
      </c>
      <c r="G23" s="52">
        <v>30</v>
      </c>
    </row>
    <row r="24" spans="1:7">
      <c r="A24" s="22" t="s">
        <v>10</v>
      </c>
      <c r="B24" s="3" t="s">
        <v>31</v>
      </c>
      <c r="C24" s="48">
        <v>35.299999999999997</v>
      </c>
      <c r="D24" s="48">
        <v>35.5</v>
      </c>
      <c r="E24" s="48">
        <v>35.4</v>
      </c>
      <c r="F24" s="48">
        <v>1.01</v>
      </c>
      <c r="G24" s="52">
        <v>21</v>
      </c>
    </row>
    <row r="25" spans="1:7">
      <c r="A25" s="22" t="s">
        <v>10</v>
      </c>
      <c r="B25" s="3" t="s">
        <v>32</v>
      </c>
      <c r="C25" s="48">
        <v>22.7</v>
      </c>
      <c r="D25" s="48">
        <v>28.1</v>
      </c>
      <c r="E25" s="48">
        <v>25.4</v>
      </c>
      <c r="F25" s="48">
        <v>1.24</v>
      </c>
      <c r="G25" s="52">
        <v>25</v>
      </c>
    </row>
    <row r="26" spans="1:7">
      <c r="A26" s="22" t="s">
        <v>10</v>
      </c>
      <c r="B26" s="3" t="s">
        <v>33</v>
      </c>
      <c r="C26" s="48">
        <v>31.4</v>
      </c>
      <c r="D26" s="48">
        <v>33.200000000000003</v>
      </c>
      <c r="E26" s="48">
        <v>32.299999999999997</v>
      </c>
      <c r="F26" s="48">
        <v>1.06</v>
      </c>
      <c r="G26" s="52">
        <v>22</v>
      </c>
    </row>
    <row r="27" spans="1:7">
      <c r="A27" s="22" t="s">
        <v>10</v>
      </c>
      <c r="B27" s="3" t="s">
        <v>34</v>
      </c>
      <c r="C27" s="48">
        <v>16.5</v>
      </c>
      <c r="D27" s="48">
        <v>21.2</v>
      </c>
      <c r="E27" s="48">
        <v>18.8</v>
      </c>
      <c r="F27" s="48">
        <v>1.28</v>
      </c>
      <c r="G27" s="52">
        <v>22</v>
      </c>
    </row>
    <row r="28" spans="1:7">
      <c r="A28" s="22" t="s">
        <v>10</v>
      </c>
      <c r="B28" s="3" t="s">
        <v>35</v>
      </c>
      <c r="C28" s="48">
        <v>23.5</v>
      </c>
      <c r="D28" s="48">
        <v>20.6</v>
      </c>
      <c r="E28" s="48">
        <v>22.1</v>
      </c>
      <c r="F28" s="48">
        <v>0.88</v>
      </c>
      <c r="G28" s="52">
        <v>27</v>
      </c>
    </row>
    <row r="29" spans="1:7">
      <c r="A29" s="22" t="s">
        <v>10</v>
      </c>
      <c r="B29" s="3" t="s">
        <v>36</v>
      </c>
      <c r="C29" s="48">
        <v>61</v>
      </c>
      <c r="D29" s="48">
        <v>62.1</v>
      </c>
      <c r="E29" s="48">
        <v>61.5</v>
      </c>
      <c r="F29" s="48">
        <v>1.02</v>
      </c>
      <c r="G29" s="52">
        <v>13</v>
      </c>
    </row>
    <row r="30" spans="1:7">
      <c r="A30" s="22" t="s">
        <v>10</v>
      </c>
      <c r="B30" s="3" t="s">
        <v>37</v>
      </c>
      <c r="C30" s="48">
        <v>25.2</v>
      </c>
      <c r="D30" s="48">
        <v>30.1</v>
      </c>
      <c r="E30" s="48">
        <v>27.4</v>
      </c>
      <c r="F30" s="48">
        <v>1.19</v>
      </c>
      <c r="G30" s="52">
        <v>18</v>
      </c>
    </row>
    <row r="31" spans="1:7">
      <c r="A31" s="22" t="s">
        <v>10</v>
      </c>
      <c r="B31" s="3" t="s">
        <v>38</v>
      </c>
      <c r="C31" s="48">
        <v>29</v>
      </c>
      <c r="D31" s="48">
        <v>28.1</v>
      </c>
      <c r="E31" s="48">
        <v>28.6</v>
      </c>
      <c r="F31" s="48">
        <v>0.97</v>
      </c>
      <c r="G31" s="52">
        <v>30</v>
      </c>
    </row>
    <row r="32" spans="1:7">
      <c r="A32" s="22" t="s">
        <v>10</v>
      </c>
      <c r="B32" s="3" t="s">
        <v>39</v>
      </c>
      <c r="C32" s="48">
        <v>35.1</v>
      </c>
      <c r="D32" s="48">
        <v>42.5</v>
      </c>
      <c r="E32" s="48">
        <v>38.6</v>
      </c>
      <c r="F32" s="48">
        <v>1.21</v>
      </c>
      <c r="G32" s="52">
        <v>23</v>
      </c>
    </row>
    <row r="33" spans="1:7">
      <c r="A33" s="22" t="s">
        <v>10</v>
      </c>
      <c r="B33" s="3" t="s">
        <v>40</v>
      </c>
      <c r="C33" s="48">
        <v>46.8</v>
      </c>
      <c r="D33" s="48">
        <v>47.3</v>
      </c>
      <c r="E33" s="48">
        <v>47</v>
      </c>
      <c r="F33" s="48">
        <v>1.01</v>
      </c>
      <c r="G33" s="52">
        <v>16</v>
      </c>
    </row>
    <row r="34" spans="1:7">
      <c r="A34" s="22" t="s">
        <v>10</v>
      </c>
      <c r="B34" s="3" t="s">
        <v>41</v>
      </c>
      <c r="C34" s="48">
        <v>38.5</v>
      </c>
      <c r="D34" s="48">
        <v>41.6</v>
      </c>
      <c r="E34" s="48">
        <v>40</v>
      </c>
      <c r="F34" s="48">
        <v>1.08</v>
      </c>
      <c r="G34" s="52">
        <v>19</v>
      </c>
    </row>
    <row r="35" spans="1:7">
      <c r="A35" s="22" t="s">
        <v>10</v>
      </c>
      <c r="B35" s="3" t="s">
        <v>42</v>
      </c>
      <c r="C35" s="48">
        <v>8.6</v>
      </c>
      <c r="D35" s="48">
        <v>16.600000000000001</v>
      </c>
      <c r="E35" s="48">
        <v>11.2</v>
      </c>
      <c r="F35" s="48">
        <v>1.93</v>
      </c>
      <c r="G35" s="52">
        <v>20</v>
      </c>
    </row>
    <row r="36" spans="1:7">
      <c r="A36" s="22" t="s">
        <v>10</v>
      </c>
      <c r="B36" s="3" t="s">
        <v>43</v>
      </c>
      <c r="C36" s="48">
        <v>21.9</v>
      </c>
      <c r="D36" s="48">
        <v>19.5</v>
      </c>
      <c r="E36" s="48">
        <v>20.7</v>
      </c>
      <c r="F36" s="48">
        <v>0.89</v>
      </c>
      <c r="G36" s="52">
        <v>41</v>
      </c>
    </row>
    <row r="37" spans="1:7">
      <c r="A37" s="22" t="s">
        <v>10</v>
      </c>
      <c r="B37" s="3" t="s">
        <v>44</v>
      </c>
      <c r="C37" s="48">
        <v>23.9</v>
      </c>
      <c r="D37" s="48">
        <v>24.4</v>
      </c>
      <c r="E37" s="48">
        <v>24.1</v>
      </c>
      <c r="F37" s="48">
        <v>1.02</v>
      </c>
      <c r="G37" s="52">
        <v>38</v>
      </c>
    </row>
    <row r="38" spans="1:7">
      <c r="A38" s="22" t="s">
        <v>10</v>
      </c>
      <c r="B38" s="3" t="s">
        <v>45</v>
      </c>
      <c r="C38" s="48">
        <v>40.1</v>
      </c>
      <c r="D38" s="48">
        <v>43.7</v>
      </c>
      <c r="E38" s="48">
        <v>41.8</v>
      </c>
      <c r="F38" s="48">
        <v>1.0900000000000001</v>
      </c>
      <c r="G38" s="52">
        <v>28</v>
      </c>
    </row>
    <row r="39" spans="1:7">
      <c r="A39" s="22" t="s">
        <v>10</v>
      </c>
      <c r="B39" s="3" t="s">
        <v>46</v>
      </c>
      <c r="C39" s="48">
        <v>25.9</v>
      </c>
      <c r="D39" s="48">
        <v>26.8</v>
      </c>
      <c r="E39" s="48">
        <v>26.3</v>
      </c>
      <c r="F39" s="48">
        <v>1.03</v>
      </c>
      <c r="G39" s="52">
        <v>40</v>
      </c>
    </row>
    <row r="40" spans="1:7">
      <c r="A40" s="30"/>
      <c r="B40" s="30"/>
      <c r="C40" s="5"/>
      <c r="D40" s="5"/>
      <c r="E40" s="5"/>
      <c r="F40" s="5"/>
      <c r="G40" s="25"/>
    </row>
    <row r="41" spans="1:7">
      <c r="A41" s="22" t="s">
        <v>47</v>
      </c>
      <c r="B41" s="27" t="s">
        <v>11</v>
      </c>
      <c r="C41" s="44">
        <v>14.2</v>
      </c>
      <c r="D41" s="45">
        <v>14.6</v>
      </c>
      <c r="E41" s="45">
        <v>14.4</v>
      </c>
      <c r="F41" s="41">
        <v>1.03</v>
      </c>
      <c r="G41" s="53">
        <v>56</v>
      </c>
    </row>
    <row r="42" spans="1:7">
      <c r="A42" s="22" t="s">
        <v>47</v>
      </c>
      <c r="B42" s="27" t="s">
        <v>12</v>
      </c>
      <c r="C42" s="46">
        <v>36</v>
      </c>
      <c r="D42" s="47">
        <v>35</v>
      </c>
      <c r="E42" s="47">
        <v>35.5</v>
      </c>
      <c r="F42" s="43">
        <v>0.97</v>
      </c>
      <c r="G42" s="54">
        <v>18</v>
      </c>
    </row>
    <row r="43" spans="1:7">
      <c r="A43" s="22" t="s">
        <v>47</v>
      </c>
      <c r="B43" s="27" t="s">
        <v>13</v>
      </c>
      <c r="C43" s="46">
        <v>37.1</v>
      </c>
      <c r="D43" s="47">
        <v>34.6</v>
      </c>
      <c r="E43" s="47">
        <v>35.9</v>
      </c>
      <c r="F43" s="43">
        <v>0.93</v>
      </c>
      <c r="G43" s="54">
        <v>28</v>
      </c>
    </row>
    <row r="44" spans="1:7">
      <c r="A44" s="22" t="s">
        <v>47</v>
      </c>
      <c r="B44" s="27" t="s">
        <v>14</v>
      </c>
      <c r="C44" s="46">
        <v>17.5</v>
      </c>
      <c r="D44" s="47">
        <v>19.899999999999999</v>
      </c>
      <c r="E44" s="47">
        <v>18.7</v>
      </c>
      <c r="F44" s="43">
        <v>1.1399999999999999</v>
      </c>
      <c r="G44" s="54">
        <v>29</v>
      </c>
    </row>
    <row r="45" spans="1:7">
      <c r="A45" s="22" t="s">
        <v>47</v>
      </c>
      <c r="B45" s="27" t="s">
        <v>15</v>
      </c>
      <c r="C45" s="46">
        <v>16.600000000000001</v>
      </c>
      <c r="D45" s="47">
        <v>17.3</v>
      </c>
      <c r="E45" s="47">
        <v>17</v>
      </c>
      <c r="F45" s="43">
        <v>1.04</v>
      </c>
      <c r="G45" s="54">
        <v>68</v>
      </c>
    </row>
    <row r="46" spans="1:7">
      <c r="A46" s="22" t="s">
        <v>47</v>
      </c>
      <c r="B46" s="27" t="s">
        <v>16</v>
      </c>
      <c r="C46" s="46">
        <v>54</v>
      </c>
      <c r="D46" s="47">
        <v>72</v>
      </c>
      <c r="E46" s="47">
        <v>61.7</v>
      </c>
      <c r="F46" s="43">
        <v>1.33</v>
      </c>
      <c r="G46" s="54">
        <v>29</v>
      </c>
    </row>
    <row r="47" spans="1:7">
      <c r="A47" s="22" t="s">
        <v>47</v>
      </c>
      <c r="B47" s="27" t="s">
        <v>17</v>
      </c>
      <c r="C47" s="46">
        <v>25.2</v>
      </c>
      <c r="D47" s="47">
        <v>30.6</v>
      </c>
      <c r="E47" s="47">
        <v>27.8</v>
      </c>
      <c r="F47" s="43">
        <v>1.21</v>
      </c>
      <c r="G47" s="54">
        <v>27</v>
      </c>
    </row>
    <row r="48" spans="1:7">
      <c r="A48" s="22" t="s">
        <v>47</v>
      </c>
      <c r="B48" s="27" t="s">
        <v>18</v>
      </c>
      <c r="C48" s="46">
        <v>55.1</v>
      </c>
      <c r="D48" s="47">
        <v>56.3</v>
      </c>
      <c r="E48" s="47">
        <v>55.7</v>
      </c>
      <c r="F48" s="43">
        <v>1.02</v>
      </c>
      <c r="G48" s="54">
        <v>57</v>
      </c>
    </row>
    <row r="49" spans="1:7">
      <c r="A49" s="22" t="s">
        <v>47</v>
      </c>
      <c r="B49" s="27" t="s">
        <v>19</v>
      </c>
      <c r="C49" s="46">
        <v>34.299999999999997</v>
      </c>
      <c r="D49" s="47">
        <v>36.6</v>
      </c>
      <c r="E49" s="47">
        <v>35.299999999999997</v>
      </c>
      <c r="F49" s="46">
        <v>1.07</v>
      </c>
      <c r="G49" s="54">
        <v>16</v>
      </c>
    </row>
    <row r="50" spans="1:7">
      <c r="A50" s="22" t="s">
        <v>47</v>
      </c>
      <c r="B50" s="27" t="s">
        <v>20</v>
      </c>
      <c r="C50" s="46">
        <v>26.3</v>
      </c>
      <c r="D50" s="47">
        <v>24.3</v>
      </c>
      <c r="E50" s="47">
        <v>25.4</v>
      </c>
      <c r="F50" s="43">
        <v>0.93</v>
      </c>
      <c r="G50" s="54">
        <v>28</v>
      </c>
    </row>
    <row r="51" spans="1:7">
      <c r="A51" s="22" t="s">
        <v>47</v>
      </c>
      <c r="B51" s="27" t="s">
        <v>21</v>
      </c>
      <c r="C51" s="46">
        <v>31.2</v>
      </c>
      <c r="D51" s="47">
        <v>39.1</v>
      </c>
      <c r="E51" s="47">
        <v>34.799999999999997</v>
      </c>
      <c r="F51" s="43">
        <v>1.25</v>
      </c>
      <c r="G51" s="54">
        <v>27</v>
      </c>
    </row>
    <row r="52" spans="1:7">
      <c r="A52" s="22" t="s">
        <v>47</v>
      </c>
      <c r="B52" s="27" t="s">
        <v>22</v>
      </c>
      <c r="C52" s="46">
        <v>38.4</v>
      </c>
      <c r="D52" s="47">
        <v>50.6</v>
      </c>
      <c r="E52" s="47">
        <v>44.1</v>
      </c>
      <c r="F52" s="43">
        <v>1.32</v>
      </c>
      <c r="G52" s="54">
        <v>32</v>
      </c>
    </row>
    <row r="53" spans="1:7">
      <c r="A53" s="22" t="s">
        <v>47</v>
      </c>
      <c r="B53" s="27" t="s">
        <v>23</v>
      </c>
      <c r="C53" s="46">
        <v>22.1</v>
      </c>
      <c r="D53" s="47">
        <v>26.9</v>
      </c>
      <c r="E53" s="47">
        <v>24.3</v>
      </c>
      <c r="F53" s="43">
        <v>1.22</v>
      </c>
      <c r="G53" s="54">
        <v>36</v>
      </c>
    </row>
    <row r="54" spans="1:7">
      <c r="A54" s="22" t="s">
        <v>47</v>
      </c>
      <c r="B54" s="27" t="s">
        <v>24</v>
      </c>
      <c r="C54" s="46">
        <v>18.600000000000001</v>
      </c>
      <c r="D54" s="47">
        <v>19.5</v>
      </c>
      <c r="E54" s="47">
        <v>19</v>
      </c>
      <c r="F54" s="43">
        <v>1.05</v>
      </c>
      <c r="G54" s="54">
        <v>58</v>
      </c>
    </row>
    <row r="55" spans="1:7">
      <c r="A55" s="22" t="s">
        <v>47</v>
      </c>
      <c r="B55" s="27" t="s">
        <v>25</v>
      </c>
      <c r="C55" s="46">
        <v>39.4</v>
      </c>
      <c r="D55" s="47">
        <v>39.9</v>
      </c>
      <c r="E55" s="47">
        <v>39.6</v>
      </c>
      <c r="F55" s="43">
        <v>1.01</v>
      </c>
      <c r="G55" s="54">
        <v>17</v>
      </c>
    </row>
    <row r="56" spans="1:7">
      <c r="A56" s="22" t="s">
        <v>47</v>
      </c>
      <c r="B56" s="27" t="s">
        <v>26</v>
      </c>
      <c r="C56" s="46">
        <v>31.8</v>
      </c>
      <c r="D56" s="47">
        <v>46.9</v>
      </c>
      <c r="E56" s="47">
        <v>39.1</v>
      </c>
      <c r="F56" s="43">
        <v>1.47</v>
      </c>
      <c r="G56" s="54">
        <v>18</v>
      </c>
    </row>
    <row r="57" spans="1:7">
      <c r="A57" s="22" t="s">
        <v>47</v>
      </c>
      <c r="B57" s="27" t="s">
        <v>27</v>
      </c>
      <c r="C57" s="46">
        <v>7.7</v>
      </c>
      <c r="D57" s="47">
        <v>17</v>
      </c>
      <c r="E57" s="47">
        <v>11.9</v>
      </c>
      <c r="F57" s="43">
        <v>2.2200000000000002</v>
      </c>
      <c r="G57" s="54">
        <v>17</v>
      </c>
    </row>
    <row r="58" spans="1:7">
      <c r="A58" s="22" t="s">
        <v>47</v>
      </c>
      <c r="B58" s="27" t="s">
        <v>28</v>
      </c>
      <c r="C58" s="46">
        <v>4.5</v>
      </c>
      <c r="D58" s="47">
        <v>8.3000000000000007</v>
      </c>
      <c r="E58" s="47">
        <v>6.3</v>
      </c>
      <c r="F58" s="43">
        <v>1.85</v>
      </c>
      <c r="G58" s="54">
        <v>9</v>
      </c>
    </row>
    <row r="59" spans="1:7">
      <c r="A59" s="22" t="s">
        <v>47</v>
      </c>
      <c r="B59" s="27" t="s">
        <v>29</v>
      </c>
      <c r="C59" s="46">
        <v>28.6</v>
      </c>
      <c r="D59" s="47">
        <v>28.2</v>
      </c>
      <c r="E59" s="47">
        <v>28.4</v>
      </c>
      <c r="F59" s="43">
        <v>0.99</v>
      </c>
      <c r="G59" s="54">
        <v>31</v>
      </c>
    </row>
    <row r="60" spans="1:7">
      <c r="A60" s="22" t="s">
        <v>47</v>
      </c>
      <c r="B60" s="27" t="s">
        <v>30</v>
      </c>
      <c r="C60" s="46">
        <v>39</v>
      </c>
      <c r="D60" s="47">
        <v>36.299999999999997</v>
      </c>
      <c r="E60" s="47">
        <v>37.799999999999997</v>
      </c>
      <c r="F60" s="43">
        <v>0.93</v>
      </c>
      <c r="G60" s="54">
        <v>28</v>
      </c>
    </row>
    <row r="61" spans="1:7">
      <c r="A61" s="22" t="s">
        <v>47</v>
      </c>
      <c r="B61" s="27" t="s">
        <v>31</v>
      </c>
      <c r="C61" s="46">
        <v>33</v>
      </c>
      <c r="D61" s="47">
        <v>34</v>
      </c>
      <c r="E61" s="47">
        <v>33.5</v>
      </c>
      <c r="F61" s="43">
        <v>1.03</v>
      </c>
      <c r="G61" s="54">
        <v>18</v>
      </c>
    </row>
    <row r="62" spans="1:7">
      <c r="A62" s="22" t="s">
        <v>47</v>
      </c>
      <c r="B62" s="27" t="s">
        <v>32</v>
      </c>
      <c r="C62" s="46">
        <v>23.5</v>
      </c>
      <c r="D62" s="47">
        <v>30.3</v>
      </c>
      <c r="E62" s="47">
        <v>26.9</v>
      </c>
      <c r="F62" s="43">
        <v>1.29</v>
      </c>
      <c r="G62" s="54">
        <v>26</v>
      </c>
    </row>
    <row r="63" spans="1:7">
      <c r="A63" s="22" t="s">
        <v>47</v>
      </c>
      <c r="B63" s="27" t="s">
        <v>33</v>
      </c>
      <c r="C63" s="46">
        <v>32.9</v>
      </c>
      <c r="D63" s="47">
        <v>34.5</v>
      </c>
      <c r="E63" s="47">
        <v>33.700000000000003</v>
      </c>
      <c r="F63" s="43">
        <v>1.05</v>
      </c>
      <c r="G63" s="54">
        <v>21</v>
      </c>
    </row>
    <row r="64" spans="1:7">
      <c r="A64" s="22" t="s">
        <v>47</v>
      </c>
      <c r="B64" s="27" t="s">
        <v>34</v>
      </c>
      <c r="C64" s="46">
        <v>16.2</v>
      </c>
      <c r="D64" s="47">
        <v>21.8</v>
      </c>
      <c r="E64" s="47">
        <v>18.899999999999999</v>
      </c>
      <c r="F64" s="43">
        <v>1.35</v>
      </c>
      <c r="G64" s="54">
        <v>21</v>
      </c>
    </row>
    <row r="65" spans="1:7">
      <c r="A65" s="22" t="s">
        <v>47</v>
      </c>
      <c r="B65" s="27" t="s">
        <v>35</v>
      </c>
      <c r="C65" s="46">
        <v>23.8</v>
      </c>
      <c r="D65" s="47">
        <v>21.9</v>
      </c>
      <c r="E65" s="47">
        <v>22.9</v>
      </c>
      <c r="F65" s="43">
        <v>0.92</v>
      </c>
      <c r="G65" s="54">
        <v>26</v>
      </c>
    </row>
    <row r="66" spans="1:7">
      <c r="A66" s="22" t="s">
        <v>47</v>
      </c>
      <c r="B66" s="27" t="s">
        <v>36</v>
      </c>
      <c r="C66" s="46">
        <v>63.6</v>
      </c>
      <c r="D66" s="47">
        <v>64.5</v>
      </c>
      <c r="E66" s="47">
        <v>64</v>
      </c>
      <c r="F66" s="43">
        <v>1.01</v>
      </c>
      <c r="G66" s="54">
        <v>13</v>
      </c>
    </row>
    <row r="67" spans="1:7">
      <c r="A67" s="22" t="s">
        <v>47</v>
      </c>
      <c r="B67" s="27" t="s">
        <v>37</v>
      </c>
      <c r="C67" s="46">
        <v>27.6</v>
      </c>
      <c r="D67" s="47">
        <v>32.299999999999997</v>
      </c>
      <c r="E67" s="47">
        <v>29.7</v>
      </c>
      <c r="F67" s="43">
        <v>1.17</v>
      </c>
      <c r="G67" s="54">
        <v>19</v>
      </c>
    </row>
    <row r="68" spans="1:7">
      <c r="A68" s="22" t="s">
        <v>47</v>
      </c>
      <c r="B68" s="27" t="s">
        <v>38</v>
      </c>
      <c r="C68" s="46">
        <v>27.8</v>
      </c>
      <c r="D68" s="47">
        <v>28.7</v>
      </c>
      <c r="E68" s="47">
        <v>28.2</v>
      </c>
      <c r="F68" s="43">
        <v>1.03</v>
      </c>
      <c r="G68" s="54">
        <v>29</v>
      </c>
    </row>
    <row r="69" spans="1:7">
      <c r="A69" s="22" t="s">
        <v>47</v>
      </c>
      <c r="B69" s="27" t="s">
        <v>39</v>
      </c>
      <c r="C69" s="46">
        <v>35</v>
      </c>
      <c r="D69" s="47">
        <v>43.2</v>
      </c>
      <c r="E69" s="47">
        <v>38.799999999999997</v>
      </c>
      <c r="F69" s="43">
        <v>1.23</v>
      </c>
      <c r="G69" s="54">
        <v>21</v>
      </c>
    </row>
    <row r="70" spans="1:7">
      <c r="A70" s="22" t="s">
        <v>47</v>
      </c>
      <c r="B70" s="27" t="s">
        <v>40</v>
      </c>
      <c r="C70" s="46">
        <v>48.8</v>
      </c>
      <c r="D70" s="47">
        <v>49.3</v>
      </c>
      <c r="E70" s="47">
        <v>49.1</v>
      </c>
      <c r="F70" s="43">
        <v>1.01</v>
      </c>
      <c r="G70" s="54">
        <v>16</v>
      </c>
    </row>
    <row r="71" spans="1:7">
      <c r="A71" s="22" t="s">
        <v>47</v>
      </c>
      <c r="B71" s="27" t="s">
        <v>41</v>
      </c>
      <c r="C71" s="46">
        <v>40.6</v>
      </c>
      <c r="D71" s="47">
        <v>45</v>
      </c>
      <c r="E71" s="47">
        <v>42.7</v>
      </c>
      <c r="F71" s="43">
        <v>1.1100000000000001</v>
      </c>
      <c r="G71" s="54">
        <v>19</v>
      </c>
    </row>
    <row r="72" spans="1:7">
      <c r="A72" s="22" t="s">
        <v>47</v>
      </c>
      <c r="B72" s="27" t="s">
        <v>42</v>
      </c>
      <c r="C72" s="46">
        <v>8.3000000000000007</v>
      </c>
      <c r="D72" s="47">
        <v>17.100000000000001</v>
      </c>
      <c r="E72" s="47">
        <v>11.1</v>
      </c>
      <c r="F72" s="43">
        <v>2.06</v>
      </c>
      <c r="G72" s="54">
        <v>20</v>
      </c>
    </row>
    <row r="73" spans="1:7">
      <c r="A73" s="22" t="s">
        <v>47</v>
      </c>
      <c r="B73" s="27" t="s">
        <v>43</v>
      </c>
      <c r="C73" s="46">
        <v>21.5</v>
      </c>
      <c r="D73" s="47">
        <v>20.9</v>
      </c>
      <c r="E73" s="47">
        <v>21.2</v>
      </c>
      <c r="F73" s="43">
        <v>0.97</v>
      </c>
      <c r="G73" s="54">
        <v>38</v>
      </c>
    </row>
    <row r="74" spans="1:7">
      <c r="A74" s="22" t="s">
        <v>47</v>
      </c>
      <c r="B74" s="27" t="s">
        <v>44</v>
      </c>
      <c r="C74" s="46">
        <v>24.7</v>
      </c>
      <c r="D74" s="47">
        <v>26.3</v>
      </c>
      <c r="E74" s="47">
        <v>25.5</v>
      </c>
      <c r="F74" s="43">
        <v>1.06</v>
      </c>
      <c r="G74" s="54">
        <v>38</v>
      </c>
    </row>
    <row r="75" spans="1:7">
      <c r="A75" s="22" t="s">
        <v>47</v>
      </c>
      <c r="B75" s="27" t="s">
        <v>45</v>
      </c>
      <c r="C75" s="46">
        <v>41.2</v>
      </c>
      <c r="D75" s="47">
        <v>45.4</v>
      </c>
      <c r="E75" s="47">
        <v>43.3</v>
      </c>
      <c r="F75" s="43">
        <v>1.1000000000000001</v>
      </c>
      <c r="G75" s="54">
        <v>29</v>
      </c>
    </row>
    <row r="76" spans="1:7">
      <c r="A76" s="22" t="s">
        <v>47</v>
      </c>
      <c r="B76" s="27" t="s">
        <v>46</v>
      </c>
      <c r="C76" s="46">
        <v>26.1</v>
      </c>
      <c r="D76" s="47">
        <v>26.9</v>
      </c>
      <c r="E76" s="47">
        <v>26.5</v>
      </c>
      <c r="F76" s="43">
        <v>1.03</v>
      </c>
      <c r="G76" s="54">
        <v>38</v>
      </c>
    </row>
    <row r="77" spans="1:7">
      <c r="C77" s="5"/>
      <c r="D77" s="5"/>
      <c r="E77" s="5"/>
      <c r="F77" s="5"/>
      <c r="G77" s="25"/>
    </row>
    <row r="78" spans="1:7">
      <c r="A78" s="22" t="s">
        <v>48</v>
      </c>
      <c r="B78" s="27" t="s">
        <v>11</v>
      </c>
      <c r="C78" s="48">
        <v>12.6</v>
      </c>
      <c r="D78" s="48">
        <v>14.5</v>
      </c>
      <c r="E78" s="48">
        <v>13.5</v>
      </c>
      <c r="F78" s="3">
        <v>1.1499999999999999</v>
      </c>
      <c r="G78" s="53">
        <v>57</v>
      </c>
    </row>
    <row r="79" spans="1:7">
      <c r="A79" s="22" t="s">
        <v>48</v>
      </c>
      <c r="B79" s="27" t="s">
        <v>12</v>
      </c>
      <c r="C79" s="48">
        <v>35.5</v>
      </c>
      <c r="D79" s="48">
        <v>35.6</v>
      </c>
      <c r="E79" s="48">
        <v>35.5</v>
      </c>
      <c r="F79" s="3">
        <v>1</v>
      </c>
      <c r="G79" s="54">
        <v>17</v>
      </c>
    </row>
    <row r="80" spans="1:7">
      <c r="A80" s="22" t="s">
        <v>48</v>
      </c>
      <c r="B80" s="27" t="s">
        <v>13</v>
      </c>
      <c r="C80" s="48">
        <v>34.700000000000003</v>
      </c>
      <c r="D80" s="48">
        <v>33.799999999999997</v>
      </c>
      <c r="E80" s="48">
        <v>34.299999999999997</v>
      </c>
      <c r="F80" s="3">
        <v>0.98</v>
      </c>
      <c r="G80" s="54">
        <v>26</v>
      </c>
    </row>
    <row r="81" spans="1:7">
      <c r="A81" s="22" t="s">
        <v>48</v>
      </c>
      <c r="B81" s="27" t="s">
        <v>14</v>
      </c>
      <c r="C81" s="48">
        <v>17.899999999999999</v>
      </c>
      <c r="D81" s="48">
        <v>21.7</v>
      </c>
      <c r="E81" s="48">
        <v>19.8</v>
      </c>
      <c r="F81" s="3">
        <v>1.21</v>
      </c>
      <c r="G81" s="54">
        <v>29</v>
      </c>
    </row>
    <row r="82" spans="1:7">
      <c r="A82" s="22" t="s">
        <v>48</v>
      </c>
      <c r="B82" s="27" t="s">
        <v>15</v>
      </c>
      <c r="C82" s="48">
        <v>16.600000000000001</v>
      </c>
      <c r="D82" s="48">
        <v>18.8</v>
      </c>
      <c r="E82" s="48">
        <v>17.7</v>
      </c>
      <c r="F82" s="3">
        <v>1.1299999999999999</v>
      </c>
      <c r="G82" s="54">
        <v>65</v>
      </c>
    </row>
    <row r="83" spans="1:7">
      <c r="A83" s="22" t="s">
        <v>48</v>
      </c>
      <c r="B83" s="27" t="s">
        <v>16</v>
      </c>
      <c r="C83" s="48">
        <v>49.1</v>
      </c>
      <c r="D83" s="48">
        <v>71.2</v>
      </c>
      <c r="E83" s="48">
        <v>58.5</v>
      </c>
      <c r="F83" s="3">
        <v>1.45</v>
      </c>
      <c r="G83" s="54">
        <v>30</v>
      </c>
    </row>
    <row r="84" spans="1:7">
      <c r="A84" s="22" t="s">
        <v>48</v>
      </c>
      <c r="B84" s="27" t="s">
        <v>17</v>
      </c>
      <c r="C84" s="48">
        <v>21.5</v>
      </c>
      <c r="D84" s="48">
        <v>28.2</v>
      </c>
      <c r="E84" s="48">
        <v>24.8</v>
      </c>
      <c r="F84" s="3">
        <v>1.31</v>
      </c>
      <c r="G84" s="54">
        <v>24</v>
      </c>
    </row>
    <row r="85" spans="1:7">
      <c r="A85" s="22" t="s">
        <v>48</v>
      </c>
      <c r="B85" s="27" t="s">
        <v>18</v>
      </c>
      <c r="C85" s="48">
        <v>51.5</v>
      </c>
      <c r="D85" s="48">
        <v>54.5</v>
      </c>
      <c r="E85" s="48">
        <v>53</v>
      </c>
      <c r="F85" s="3">
        <v>1.06</v>
      </c>
      <c r="G85" s="54">
        <v>51</v>
      </c>
    </row>
    <row r="86" spans="1:7">
      <c r="A86" s="22" t="s">
        <v>48</v>
      </c>
      <c r="B86" s="27" t="s">
        <v>19</v>
      </c>
      <c r="C86" s="48">
        <v>31.4</v>
      </c>
      <c r="D86" s="48">
        <v>36.700000000000003</v>
      </c>
      <c r="E86" s="48">
        <v>33.9</v>
      </c>
      <c r="F86" s="3">
        <v>1.17</v>
      </c>
      <c r="G86" s="54">
        <v>16</v>
      </c>
    </row>
    <row r="87" spans="1:7">
      <c r="A87" s="22" t="s">
        <v>48</v>
      </c>
      <c r="B87" s="27" t="s">
        <v>20</v>
      </c>
      <c r="C87" s="48">
        <v>26.7</v>
      </c>
      <c r="D87" s="48">
        <v>25.8</v>
      </c>
      <c r="E87" s="48">
        <v>26.3</v>
      </c>
      <c r="F87" s="3">
        <v>0.97</v>
      </c>
      <c r="G87" s="54">
        <v>28</v>
      </c>
    </row>
    <row r="88" spans="1:7">
      <c r="A88" s="22" t="s">
        <v>48</v>
      </c>
      <c r="B88" s="27" t="s">
        <v>21</v>
      </c>
      <c r="C88" s="48">
        <v>31.1</v>
      </c>
      <c r="D88" s="48">
        <v>39.9</v>
      </c>
      <c r="E88" s="48">
        <v>35.1</v>
      </c>
      <c r="F88" s="3">
        <v>1.28</v>
      </c>
      <c r="G88" s="54">
        <v>26</v>
      </c>
    </row>
    <row r="89" spans="1:7">
      <c r="A89" s="22" t="s">
        <v>48</v>
      </c>
      <c r="B89" s="27" t="s">
        <v>22</v>
      </c>
      <c r="C89" s="48">
        <v>39.9</v>
      </c>
      <c r="D89" s="48">
        <v>53.6</v>
      </c>
      <c r="E89" s="48">
        <v>46.4</v>
      </c>
      <c r="F89" s="3">
        <v>1.34</v>
      </c>
      <c r="G89" s="54">
        <v>31</v>
      </c>
    </row>
    <row r="90" spans="1:7">
      <c r="A90" s="22" t="s">
        <v>48</v>
      </c>
      <c r="B90" s="27" t="s">
        <v>23</v>
      </c>
      <c r="C90" s="48">
        <v>18.5</v>
      </c>
      <c r="D90" s="48">
        <v>24.8</v>
      </c>
      <c r="E90" s="48">
        <v>21.5</v>
      </c>
      <c r="F90" s="3">
        <v>1.34</v>
      </c>
      <c r="G90" s="54">
        <v>31</v>
      </c>
    </row>
    <row r="91" spans="1:7">
      <c r="A91" s="22" t="s">
        <v>48</v>
      </c>
      <c r="B91" s="27" t="s">
        <v>24</v>
      </c>
      <c r="C91" s="48">
        <v>18.7</v>
      </c>
      <c r="D91" s="48">
        <v>20.2</v>
      </c>
      <c r="E91" s="48">
        <v>19.399999999999999</v>
      </c>
      <c r="F91" s="3">
        <v>1.08</v>
      </c>
      <c r="G91" s="54">
        <v>57</v>
      </c>
    </row>
    <row r="92" spans="1:7">
      <c r="A92" s="22" t="s">
        <v>48</v>
      </c>
      <c r="B92" s="27" t="s">
        <v>25</v>
      </c>
      <c r="C92" s="48">
        <v>41</v>
      </c>
      <c r="D92" s="48">
        <v>42.8</v>
      </c>
      <c r="E92" s="48">
        <v>41.9</v>
      </c>
      <c r="F92" s="3">
        <v>1.04</v>
      </c>
      <c r="G92" s="54">
        <v>17</v>
      </c>
    </row>
    <row r="93" spans="1:7">
      <c r="A93" s="22" t="s">
        <v>48</v>
      </c>
      <c r="B93" s="27" t="s">
        <v>26</v>
      </c>
      <c r="C93" s="48">
        <v>33.700000000000003</v>
      </c>
      <c r="D93" s="48">
        <v>49.1</v>
      </c>
      <c r="E93" s="48">
        <v>41.2</v>
      </c>
      <c r="F93" s="3">
        <v>1.46</v>
      </c>
      <c r="G93" s="54">
        <v>18</v>
      </c>
    </row>
    <row r="94" spans="1:7">
      <c r="A94" s="22" t="s">
        <v>48</v>
      </c>
      <c r="B94" s="27" t="s">
        <v>27</v>
      </c>
      <c r="C94" s="48">
        <v>7.8</v>
      </c>
      <c r="D94" s="48">
        <v>16.899999999999999</v>
      </c>
      <c r="E94" s="48">
        <v>11.9</v>
      </c>
      <c r="F94" s="3">
        <v>2.17</v>
      </c>
      <c r="G94" s="54">
        <v>13</v>
      </c>
    </row>
    <row r="95" spans="1:7">
      <c r="A95" s="22" t="s">
        <v>48</v>
      </c>
      <c r="B95" s="27" t="s">
        <v>28</v>
      </c>
      <c r="C95" s="48">
        <v>4.5</v>
      </c>
      <c r="D95" s="48">
        <v>10</v>
      </c>
      <c r="E95" s="48">
        <v>7.1</v>
      </c>
      <c r="F95" s="3">
        <v>2.21</v>
      </c>
      <c r="G95" s="54">
        <v>9</v>
      </c>
    </row>
    <row r="96" spans="1:7">
      <c r="A96" s="22" t="s">
        <v>48</v>
      </c>
      <c r="B96" s="27" t="s">
        <v>29</v>
      </c>
      <c r="C96" s="48">
        <v>29</v>
      </c>
      <c r="D96" s="48">
        <v>29.1</v>
      </c>
      <c r="E96" s="48">
        <v>29</v>
      </c>
      <c r="F96" s="3">
        <v>1</v>
      </c>
      <c r="G96" s="54">
        <v>30</v>
      </c>
    </row>
    <row r="97" spans="1:7">
      <c r="A97" s="22" t="s">
        <v>48</v>
      </c>
      <c r="B97" s="27" t="s">
        <v>30</v>
      </c>
      <c r="C97" s="48">
        <v>36.700000000000003</v>
      </c>
      <c r="D97" s="48">
        <v>36.1</v>
      </c>
      <c r="E97" s="48">
        <v>36.4</v>
      </c>
      <c r="F97" s="3">
        <v>0.98</v>
      </c>
      <c r="G97" s="54">
        <v>26</v>
      </c>
    </row>
    <row r="98" spans="1:7">
      <c r="A98" s="22" t="s">
        <v>48</v>
      </c>
      <c r="B98" s="27" t="s">
        <v>31</v>
      </c>
      <c r="C98" s="48">
        <v>30</v>
      </c>
      <c r="D98" s="48">
        <v>31.5</v>
      </c>
      <c r="E98" s="48">
        <v>30.7</v>
      </c>
      <c r="F98" s="3">
        <v>1.05</v>
      </c>
      <c r="G98" s="54">
        <v>17</v>
      </c>
    </row>
    <row r="99" spans="1:7">
      <c r="A99" s="22" t="s">
        <v>48</v>
      </c>
      <c r="B99" s="27" t="s">
        <v>32</v>
      </c>
      <c r="C99" s="48">
        <v>25.4</v>
      </c>
      <c r="D99" s="48">
        <v>32.9</v>
      </c>
      <c r="E99" s="48">
        <v>29.1</v>
      </c>
      <c r="F99" s="3">
        <v>1.3</v>
      </c>
      <c r="G99" s="54">
        <v>27</v>
      </c>
    </row>
    <row r="100" spans="1:7">
      <c r="A100" s="22" t="s">
        <v>48</v>
      </c>
      <c r="B100" s="27" t="s">
        <v>33</v>
      </c>
      <c r="C100" s="48">
        <v>30.7</v>
      </c>
      <c r="D100" s="48">
        <v>32.4</v>
      </c>
      <c r="E100" s="48">
        <v>31.5</v>
      </c>
      <c r="F100" s="3">
        <v>1.06</v>
      </c>
      <c r="G100" s="54">
        <v>19</v>
      </c>
    </row>
    <row r="101" spans="1:7">
      <c r="A101" s="22" t="s">
        <v>48</v>
      </c>
      <c r="B101" s="27" t="s">
        <v>34</v>
      </c>
      <c r="C101" s="48">
        <v>15.9</v>
      </c>
      <c r="D101" s="48">
        <v>21.1</v>
      </c>
      <c r="E101" s="48">
        <v>18.399999999999999</v>
      </c>
      <c r="F101" s="3">
        <v>1.33</v>
      </c>
      <c r="G101" s="54">
        <v>18</v>
      </c>
    </row>
    <row r="102" spans="1:7">
      <c r="A102" s="22" t="s">
        <v>48</v>
      </c>
      <c r="B102" s="27" t="s">
        <v>35</v>
      </c>
      <c r="C102" s="48">
        <v>25.3</v>
      </c>
      <c r="D102" s="48">
        <v>24.4</v>
      </c>
      <c r="E102" s="48">
        <v>24.9</v>
      </c>
      <c r="F102" s="3">
        <v>0.96</v>
      </c>
      <c r="G102" s="54">
        <v>26</v>
      </c>
    </row>
    <row r="103" spans="1:7">
      <c r="A103" s="22" t="s">
        <v>48</v>
      </c>
      <c r="B103" s="27" t="s">
        <v>36</v>
      </c>
      <c r="C103" s="48">
        <v>71.8</v>
      </c>
      <c r="D103" s="48">
        <v>72.8</v>
      </c>
      <c r="E103" s="48">
        <v>72.3</v>
      </c>
      <c r="F103" s="3">
        <v>1.01</v>
      </c>
      <c r="G103" s="54">
        <v>13</v>
      </c>
    </row>
    <row r="104" spans="1:7">
      <c r="A104" s="22" t="s">
        <v>48</v>
      </c>
      <c r="B104" s="27" t="s">
        <v>37</v>
      </c>
      <c r="C104" s="48">
        <v>27.9</v>
      </c>
      <c r="D104" s="48">
        <v>34.4</v>
      </c>
      <c r="E104" s="48">
        <v>30.8</v>
      </c>
      <c r="F104" s="3">
        <v>1.23</v>
      </c>
      <c r="G104" s="54">
        <v>18</v>
      </c>
    </row>
    <row r="105" spans="1:7">
      <c r="A105" s="22" t="s">
        <v>48</v>
      </c>
      <c r="B105" s="27" t="s">
        <v>38</v>
      </c>
      <c r="C105" s="48">
        <v>28.8</v>
      </c>
      <c r="D105" s="48">
        <v>30.3</v>
      </c>
      <c r="E105" s="48">
        <v>29.5</v>
      </c>
      <c r="F105" s="3">
        <v>1.05</v>
      </c>
      <c r="G105" s="54">
        <v>28</v>
      </c>
    </row>
    <row r="106" spans="1:7">
      <c r="A106" s="22" t="s">
        <v>48</v>
      </c>
      <c r="B106" s="27" t="s">
        <v>39</v>
      </c>
      <c r="C106" s="48">
        <v>39.4</v>
      </c>
      <c r="D106" s="48">
        <v>46</v>
      </c>
      <c r="E106" s="48">
        <v>42.5</v>
      </c>
      <c r="F106" s="3">
        <v>1.17</v>
      </c>
      <c r="G106" s="54">
        <v>20</v>
      </c>
    </row>
    <row r="107" spans="1:7">
      <c r="A107" s="22" t="s">
        <v>48</v>
      </c>
      <c r="B107" s="27" t="s">
        <v>40</v>
      </c>
      <c r="C107" s="48">
        <v>51.6</v>
      </c>
      <c r="D107" s="48">
        <v>53.1</v>
      </c>
      <c r="E107" s="48">
        <v>52.3</v>
      </c>
      <c r="F107" s="3">
        <v>1.03</v>
      </c>
      <c r="G107" s="54">
        <v>17</v>
      </c>
    </row>
    <row r="108" spans="1:7">
      <c r="A108" s="22" t="s">
        <v>48</v>
      </c>
      <c r="B108" s="27" t="s">
        <v>41</v>
      </c>
      <c r="C108" s="48">
        <v>44.2</v>
      </c>
      <c r="D108" s="48">
        <v>49.2</v>
      </c>
      <c r="E108" s="48">
        <v>46.6</v>
      </c>
      <c r="F108" s="3">
        <v>1.1100000000000001</v>
      </c>
      <c r="G108" s="54">
        <v>19</v>
      </c>
    </row>
    <row r="109" spans="1:7">
      <c r="A109" s="22" t="s">
        <v>48</v>
      </c>
      <c r="B109" s="27" t="s">
        <v>42</v>
      </c>
      <c r="C109" s="48">
        <v>7.8</v>
      </c>
      <c r="D109" s="48">
        <v>16.3</v>
      </c>
      <c r="E109" s="48">
        <v>10.5</v>
      </c>
      <c r="F109" s="3">
        <v>2.08</v>
      </c>
      <c r="G109" s="54">
        <v>20</v>
      </c>
    </row>
    <row r="110" spans="1:7">
      <c r="A110" s="22" t="s">
        <v>48</v>
      </c>
      <c r="B110" s="27" t="s">
        <v>43</v>
      </c>
      <c r="C110" s="48">
        <v>22.7</v>
      </c>
      <c r="D110" s="48">
        <v>23.1</v>
      </c>
      <c r="E110" s="48">
        <v>22.9</v>
      </c>
      <c r="F110" s="3">
        <v>1.02</v>
      </c>
      <c r="G110" s="54">
        <v>38</v>
      </c>
    </row>
    <row r="111" spans="1:7">
      <c r="A111" s="4" t="s">
        <v>48</v>
      </c>
      <c r="B111" s="27" t="s">
        <v>44</v>
      </c>
      <c r="C111" s="48">
        <v>25</v>
      </c>
      <c r="D111" s="48">
        <v>27.1</v>
      </c>
      <c r="E111" s="48">
        <v>26</v>
      </c>
      <c r="F111" s="3">
        <v>1.0900000000000001</v>
      </c>
      <c r="G111" s="54">
        <v>36</v>
      </c>
    </row>
    <row r="112" spans="1:7">
      <c r="A112" s="4" t="s">
        <v>48</v>
      </c>
      <c r="B112" s="27" t="s">
        <v>45</v>
      </c>
      <c r="C112" s="48">
        <v>45.5</v>
      </c>
      <c r="D112" s="48">
        <v>51.7</v>
      </c>
      <c r="E112" s="48">
        <v>48.5</v>
      </c>
      <c r="F112" s="3">
        <v>1.1399999999999999</v>
      </c>
      <c r="G112" s="54">
        <v>29</v>
      </c>
    </row>
    <row r="113" spans="1:7">
      <c r="A113" s="4" t="s">
        <v>48</v>
      </c>
      <c r="B113" s="27" t="s">
        <v>46</v>
      </c>
      <c r="C113" s="48">
        <v>23.4</v>
      </c>
      <c r="D113" s="48">
        <v>25.7</v>
      </c>
      <c r="E113" s="48">
        <v>24.6</v>
      </c>
      <c r="F113" s="3">
        <v>1.1000000000000001</v>
      </c>
      <c r="G113" s="54">
        <v>34</v>
      </c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7D97-C88C-47E2-9918-D5FC2F48868B}">
  <dimension ref="A1:I6"/>
  <sheetViews>
    <sheetView workbookViewId="0">
      <selection activeCell="E11" sqref="E11"/>
    </sheetView>
  </sheetViews>
  <sheetFormatPr defaultRowHeight="15"/>
  <cols>
    <col min="1" max="1" width="8" bestFit="1" customWidth="1"/>
    <col min="2" max="2" width="15.5703125" bestFit="1" customWidth="1"/>
    <col min="3" max="3" width="28.7109375" bestFit="1" customWidth="1"/>
    <col min="4" max="4" width="16.5703125" bestFit="1" customWidth="1"/>
    <col min="5" max="5" width="17.5703125" bestFit="1" customWidth="1"/>
    <col min="6" max="6" width="19.85546875" bestFit="1" customWidth="1"/>
    <col min="7" max="7" width="11.85546875" bestFit="1" customWidth="1"/>
    <col min="8" max="8" width="11" bestFit="1" customWidth="1"/>
    <col min="9" max="9" width="11.42578125" bestFit="1" customWidth="1"/>
    <col min="10" max="10" width="11.5703125" bestFit="1" customWidth="1"/>
    <col min="11" max="11" width="14" bestFit="1" customWidth="1"/>
  </cols>
  <sheetData>
    <row r="1" spans="1:9" ht="15" customHeight="1">
      <c r="A1" s="69" t="s">
        <v>67</v>
      </c>
      <c r="B1" s="70"/>
      <c r="C1" s="70"/>
      <c r="D1" s="70"/>
      <c r="E1" s="70"/>
      <c r="F1" s="70"/>
      <c r="G1" s="70"/>
      <c r="H1" s="70"/>
      <c r="I1" s="71"/>
    </row>
    <row r="2" spans="1:9" ht="15" customHeight="1">
      <c r="A2" s="72"/>
      <c r="B2" s="73"/>
      <c r="C2" s="73"/>
      <c r="D2" s="73"/>
      <c r="E2" s="73"/>
      <c r="F2" s="73"/>
      <c r="G2" s="73"/>
      <c r="H2" s="73"/>
      <c r="I2" s="74"/>
    </row>
    <row r="3" spans="1:9" ht="15.75">
      <c r="A3" s="13" t="s">
        <v>2</v>
      </c>
      <c r="B3" s="13" t="s">
        <v>68</v>
      </c>
      <c r="C3" s="13" t="s">
        <v>69</v>
      </c>
      <c r="D3" s="13" t="s">
        <v>70</v>
      </c>
      <c r="E3" s="13" t="s">
        <v>71</v>
      </c>
      <c r="F3" s="13" t="s">
        <v>72</v>
      </c>
      <c r="G3" s="13" t="s">
        <v>64</v>
      </c>
      <c r="H3" s="13" t="s">
        <v>73</v>
      </c>
      <c r="I3" s="13" t="s">
        <v>74</v>
      </c>
    </row>
    <row r="4" spans="1:9">
      <c r="A4" s="4" t="s">
        <v>10</v>
      </c>
      <c r="B4" s="4">
        <v>43993</v>
      </c>
      <c r="C4" s="4">
        <v>39986371</v>
      </c>
      <c r="D4" s="4">
        <v>1597688</v>
      </c>
      <c r="E4" s="48">
        <v>28.3</v>
      </c>
      <c r="F4" s="48">
        <v>28.5</v>
      </c>
      <c r="G4" s="48">
        <v>28.4</v>
      </c>
      <c r="H4" s="48">
        <v>1.01</v>
      </c>
      <c r="I4" s="49">
        <v>28</v>
      </c>
    </row>
    <row r="5" spans="1:9">
      <c r="A5" s="4" t="s">
        <v>47</v>
      </c>
      <c r="B5" s="4">
        <v>45732</v>
      </c>
      <c r="C5" s="4">
        <v>41553628</v>
      </c>
      <c r="D5" s="4">
        <v>1664172</v>
      </c>
      <c r="E5" s="48">
        <v>28.9</v>
      </c>
      <c r="F5" s="48">
        <v>30.2</v>
      </c>
      <c r="G5" s="48">
        <v>29.5</v>
      </c>
      <c r="H5" s="3">
        <v>1.04</v>
      </c>
      <c r="I5" s="49">
        <v>27</v>
      </c>
    </row>
    <row r="6" spans="1:9">
      <c r="A6" s="4" t="s">
        <v>48</v>
      </c>
      <c r="B6" s="4">
        <v>47757</v>
      </c>
      <c r="C6" s="4">
        <v>41972022</v>
      </c>
      <c r="D6" s="4">
        <v>1732294</v>
      </c>
      <c r="E6" s="48">
        <v>28.9</v>
      </c>
      <c r="F6" s="48">
        <v>31.2</v>
      </c>
      <c r="G6" s="48">
        <v>30</v>
      </c>
      <c r="H6" s="3">
        <v>1.08</v>
      </c>
      <c r="I6" s="49">
        <v>26</v>
      </c>
    </row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33F6-4BFC-4062-91BF-4C0DB05B198C}">
  <dimension ref="A1:E113"/>
  <sheetViews>
    <sheetView workbookViewId="0">
      <selection activeCell="E76" sqref="E76"/>
    </sheetView>
  </sheetViews>
  <sheetFormatPr defaultRowHeight="15"/>
  <cols>
    <col min="1" max="1" width="8.28515625" bestFit="1" customWidth="1"/>
    <col min="2" max="2" width="34.28515625" bestFit="1" customWidth="1"/>
    <col min="3" max="3" width="6.7109375" bestFit="1" customWidth="1"/>
  </cols>
  <sheetData>
    <row r="1" spans="1:5">
      <c r="A1" s="61" t="s">
        <v>75</v>
      </c>
      <c r="B1" s="62"/>
      <c r="C1" s="62"/>
      <c r="D1" s="62"/>
      <c r="E1" s="62"/>
    </row>
    <row r="2" spans="1:5">
      <c r="A2" s="62"/>
      <c r="B2" s="62"/>
      <c r="C2" s="62"/>
      <c r="D2" s="62"/>
      <c r="E2" s="62"/>
    </row>
    <row r="3" spans="1:5" ht="15.75">
      <c r="A3" s="13" t="s">
        <v>2</v>
      </c>
      <c r="B3" s="13" t="s">
        <v>58</v>
      </c>
      <c r="C3" s="13" t="s">
        <v>76</v>
      </c>
      <c r="D3" s="13" t="s">
        <v>77</v>
      </c>
      <c r="E3" s="13" t="s">
        <v>78</v>
      </c>
    </row>
    <row r="4" spans="1:5">
      <c r="A4" s="55" t="s">
        <v>10</v>
      </c>
      <c r="B4" s="56" t="s">
        <v>12</v>
      </c>
      <c r="C4" s="56">
        <v>74.599999999999994</v>
      </c>
      <c r="D4" s="56">
        <v>41.8</v>
      </c>
      <c r="E4" s="56">
        <v>57.8</v>
      </c>
    </row>
    <row r="5" spans="1:5">
      <c r="A5" s="57" t="s">
        <v>10</v>
      </c>
      <c r="B5" s="58" t="s">
        <v>79</v>
      </c>
      <c r="C5" s="58">
        <v>78.5</v>
      </c>
      <c r="D5" s="58">
        <v>39.200000000000003</v>
      </c>
      <c r="E5" s="58">
        <v>59.2</v>
      </c>
    </row>
    <row r="6" spans="1:5">
      <c r="A6" s="57" t="s">
        <v>10</v>
      </c>
      <c r="B6" s="58" t="s">
        <v>13</v>
      </c>
      <c r="C6" s="58">
        <v>64.7</v>
      </c>
      <c r="D6" s="58">
        <v>28.2</v>
      </c>
      <c r="E6" s="58">
        <v>47.1</v>
      </c>
    </row>
    <row r="7" spans="1:5">
      <c r="A7" s="57" t="s">
        <v>10</v>
      </c>
      <c r="B7" s="58" t="s">
        <v>14</v>
      </c>
      <c r="C7" s="58">
        <v>76.8</v>
      </c>
      <c r="D7" s="58">
        <v>26.8</v>
      </c>
      <c r="E7" s="58">
        <v>52.1</v>
      </c>
    </row>
    <row r="8" spans="1:5">
      <c r="A8" s="57" t="s">
        <v>10</v>
      </c>
      <c r="B8" s="58" t="s">
        <v>15</v>
      </c>
      <c r="C8" s="58">
        <v>67.7</v>
      </c>
      <c r="D8" s="58">
        <v>9.9</v>
      </c>
      <c r="E8" s="58">
        <v>39.299999999999997</v>
      </c>
    </row>
    <row r="9" spans="1:5">
      <c r="A9" s="57" t="s">
        <v>10</v>
      </c>
      <c r="B9" s="58" t="s">
        <v>16</v>
      </c>
      <c r="C9" s="58">
        <v>66.3</v>
      </c>
      <c r="D9" s="58">
        <v>15.5</v>
      </c>
      <c r="E9" s="58">
        <v>42.2</v>
      </c>
    </row>
    <row r="10" spans="1:5">
      <c r="A10" s="57" t="s">
        <v>10</v>
      </c>
      <c r="B10" s="58" t="s">
        <v>80</v>
      </c>
      <c r="C10" s="58">
        <v>79.599999999999994</v>
      </c>
      <c r="D10" s="58">
        <v>50.6</v>
      </c>
      <c r="E10" s="58">
        <v>64.900000000000006</v>
      </c>
    </row>
    <row r="11" spans="1:5">
      <c r="A11" s="57" t="s">
        <v>10</v>
      </c>
      <c r="B11" s="58" t="s">
        <v>81</v>
      </c>
      <c r="C11" s="58">
        <v>85</v>
      </c>
      <c r="D11" s="58">
        <v>39.4</v>
      </c>
      <c r="E11" s="58">
        <v>65.8</v>
      </c>
    </row>
    <row r="12" spans="1:5">
      <c r="A12" s="57" t="s">
        <v>10</v>
      </c>
      <c r="B12" s="58" t="s">
        <v>18</v>
      </c>
      <c r="C12" s="58">
        <v>68.900000000000006</v>
      </c>
      <c r="D12" s="58">
        <v>11.5</v>
      </c>
      <c r="E12" s="58">
        <v>42.3</v>
      </c>
    </row>
    <row r="13" spans="1:5">
      <c r="A13" s="57" t="s">
        <v>10</v>
      </c>
      <c r="B13" s="58" t="s">
        <v>19</v>
      </c>
      <c r="C13" s="58">
        <v>66.3</v>
      </c>
      <c r="D13" s="58">
        <v>16.600000000000001</v>
      </c>
      <c r="E13" s="58">
        <v>41.6</v>
      </c>
    </row>
    <row r="14" spans="1:5">
      <c r="A14" s="57" t="s">
        <v>10</v>
      </c>
      <c r="B14" s="58" t="s">
        <v>20</v>
      </c>
      <c r="C14" s="58">
        <v>78.099999999999994</v>
      </c>
      <c r="D14" s="58">
        <v>33.9</v>
      </c>
      <c r="E14" s="58">
        <v>56.8</v>
      </c>
    </row>
    <row r="15" spans="1:5">
      <c r="A15" s="57" t="s">
        <v>10</v>
      </c>
      <c r="B15" s="58" t="s">
        <v>21</v>
      </c>
      <c r="C15" s="58">
        <v>65</v>
      </c>
      <c r="D15" s="58">
        <v>17.399999999999999</v>
      </c>
      <c r="E15" s="58">
        <v>42.5</v>
      </c>
    </row>
    <row r="16" spans="1:5">
      <c r="A16" s="57" t="s">
        <v>10</v>
      </c>
      <c r="B16" s="58" t="s">
        <v>22</v>
      </c>
      <c r="C16" s="58">
        <v>78.900000000000006</v>
      </c>
      <c r="D16" s="58">
        <v>63.8</v>
      </c>
      <c r="E16" s="58">
        <v>71.2</v>
      </c>
    </row>
    <row r="17" spans="1:5">
      <c r="A17" s="57" t="s">
        <v>10</v>
      </c>
      <c r="B17" s="58" t="s">
        <v>82</v>
      </c>
      <c r="C17" s="58">
        <v>74.5</v>
      </c>
      <c r="D17" s="58">
        <v>41.1</v>
      </c>
      <c r="E17" s="58">
        <v>58.3</v>
      </c>
    </row>
    <row r="18" spans="1:5">
      <c r="A18" s="57" t="s">
        <v>10</v>
      </c>
      <c r="B18" s="58" t="s">
        <v>24</v>
      </c>
      <c r="C18" s="58">
        <v>77.2</v>
      </c>
      <c r="D18" s="58">
        <v>44.8</v>
      </c>
      <c r="E18" s="58">
        <v>60.7</v>
      </c>
    </row>
    <row r="19" spans="1:5">
      <c r="A19" s="57" t="s">
        <v>10</v>
      </c>
      <c r="B19" s="58" t="s">
        <v>25</v>
      </c>
      <c r="C19" s="58">
        <v>74.599999999999994</v>
      </c>
      <c r="D19" s="58">
        <v>31</v>
      </c>
      <c r="E19" s="58">
        <v>53</v>
      </c>
    </row>
    <row r="20" spans="1:5">
      <c r="A20" s="57" t="s">
        <v>10</v>
      </c>
      <c r="B20" s="58" t="s">
        <v>26</v>
      </c>
      <c r="C20" s="58">
        <v>68</v>
      </c>
      <c r="D20" s="58">
        <v>32</v>
      </c>
      <c r="E20" s="58">
        <v>48.8</v>
      </c>
    </row>
    <row r="21" spans="1:5">
      <c r="A21" s="57" t="s">
        <v>10</v>
      </c>
      <c r="B21" s="58" t="s">
        <v>27</v>
      </c>
      <c r="C21" s="58">
        <v>70.3</v>
      </c>
      <c r="D21" s="58">
        <v>45.8</v>
      </c>
      <c r="E21" s="58">
        <v>58.1</v>
      </c>
    </row>
    <row r="22" spans="1:5">
      <c r="A22" s="57" t="s">
        <v>10</v>
      </c>
      <c r="B22" s="58" t="s">
        <v>28</v>
      </c>
      <c r="C22" s="58">
        <v>63.7</v>
      </c>
      <c r="D22" s="58">
        <v>10.9</v>
      </c>
      <c r="E22" s="58">
        <v>37.200000000000003</v>
      </c>
    </row>
    <row r="23" spans="1:5">
      <c r="A23" s="57" t="s">
        <v>10</v>
      </c>
      <c r="B23" s="58" t="s">
        <v>29</v>
      </c>
      <c r="C23" s="58">
        <v>79.7</v>
      </c>
      <c r="D23" s="58">
        <v>40.6</v>
      </c>
      <c r="E23" s="58">
        <v>60.7</v>
      </c>
    </row>
    <row r="24" spans="1:5">
      <c r="A24" s="57" t="s">
        <v>10</v>
      </c>
      <c r="B24" s="58" t="s">
        <v>30</v>
      </c>
      <c r="C24" s="58">
        <v>73.599999999999994</v>
      </c>
      <c r="D24" s="58">
        <v>37.299999999999997</v>
      </c>
      <c r="E24" s="58">
        <v>55.9</v>
      </c>
    </row>
    <row r="25" spans="1:5">
      <c r="A25" s="57" t="s">
        <v>10</v>
      </c>
      <c r="B25" s="58" t="s">
        <v>31</v>
      </c>
      <c r="C25" s="58">
        <v>60.6</v>
      </c>
      <c r="D25" s="58">
        <v>20.3</v>
      </c>
      <c r="E25" s="58">
        <v>40.6</v>
      </c>
    </row>
    <row r="26" spans="1:5">
      <c r="A26" s="57" t="s">
        <v>10</v>
      </c>
      <c r="B26" s="58" t="s">
        <v>32</v>
      </c>
      <c r="C26" s="58">
        <v>73</v>
      </c>
      <c r="D26" s="58">
        <v>48.4</v>
      </c>
      <c r="E26" s="58">
        <v>60.5</v>
      </c>
    </row>
    <row r="27" spans="1:5">
      <c r="A27" s="57" t="s">
        <v>10</v>
      </c>
      <c r="B27" s="58" t="s">
        <v>33</v>
      </c>
      <c r="C27" s="58">
        <v>64.599999999999994</v>
      </c>
      <c r="D27" s="58">
        <v>32</v>
      </c>
      <c r="E27" s="58">
        <v>48.9</v>
      </c>
    </row>
    <row r="28" spans="1:5">
      <c r="A28" s="57" t="s">
        <v>10</v>
      </c>
      <c r="B28" s="58" t="s">
        <v>34</v>
      </c>
      <c r="C28" s="58">
        <v>69.3</v>
      </c>
      <c r="D28" s="58">
        <v>46.4</v>
      </c>
      <c r="E28" s="58">
        <v>58.4</v>
      </c>
    </row>
    <row r="29" spans="1:5">
      <c r="A29" s="57" t="s">
        <v>10</v>
      </c>
      <c r="B29" s="58" t="s">
        <v>35</v>
      </c>
      <c r="C29" s="58">
        <v>73.599999999999994</v>
      </c>
      <c r="D29" s="58">
        <v>31.4</v>
      </c>
      <c r="E29" s="58">
        <v>52.4</v>
      </c>
    </row>
    <row r="30" spans="1:5">
      <c r="A30" s="57" t="s">
        <v>10</v>
      </c>
      <c r="B30" s="58" t="s">
        <v>36</v>
      </c>
      <c r="C30" s="58">
        <v>69.2</v>
      </c>
      <c r="D30" s="58">
        <v>34.4</v>
      </c>
      <c r="E30" s="58">
        <v>51.2</v>
      </c>
    </row>
    <row r="31" spans="1:5">
      <c r="A31" s="57" t="s">
        <v>10</v>
      </c>
      <c r="B31" s="58" t="s">
        <v>37</v>
      </c>
      <c r="C31" s="58">
        <v>72.8</v>
      </c>
      <c r="D31" s="58">
        <v>21.9</v>
      </c>
      <c r="E31" s="58">
        <v>48.5</v>
      </c>
    </row>
    <row r="32" spans="1:5">
      <c r="A32" s="57" t="s">
        <v>10</v>
      </c>
      <c r="B32" s="58" t="s">
        <v>38</v>
      </c>
      <c r="C32" s="58">
        <v>70.2</v>
      </c>
      <c r="D32" s="58">
        <v>39</v>
      </c>
      <c r="E32" s="58">
        <v>54.7</v>
      </c>
    </row>
    <row r="33" spans="1:5">
      <c r="A33" s="57" t="s">
        <v>10</v>
      </c>
      <c r="B33" s="58" t="s">
        <v>39</v>
      </c>
      <c r="C33" s="58">
        <v>82.6</v>
      </c>
      <c r="D33" s="58">
        <v>56.5</v>
      </c>
      <c r="E33" s="58">
        <v>69.900000000000006</v>
      </c>
    </row>
    <row r="34" spans="1:5">
      <c r="A34" s="57" t="s">
        <v>10</v>
      </c>
      <c r="B34" s="58" t="s">
        <v>83</v>
      </c>
      <c r="C34" s="58">
        <v>73.5</v>
      </c>
      <c r="D34" s="58">
        <v>39.1</v>
      </c>
      <c r="E34" s="58">
        <v>55.8</v>
      </c>
    </row>
    <row r="35" spans="1:5">
      <c r="A35" s="57" t="s">
        <v>10</v>
      </c>
      <c r="B35" s="58" t="s">
        <v>41</v>
      </c>
      <c r="C35" s="58">
        <v>73.599999999999994</v>
      </c>
      <c r="D35" s="58">
        <v>42.6</v>
      </c>
      <c r="E35" s="58">
        <v>58.1</v>
      </c>
    </row>
    <row r="36" spans="1:5">
      <c r="A36" s="57" t="s">
        <v>10</v>
      </c>
      <c r="B36" s="58" t="s">
        <v>43</v>
      </c>
      <c r="C36" s="58">
        <v>74.900000000000006</v>
      </c>
      <c r="D36" s="58">
        <v>25.5</v>
      </c>
      <c r="E36" s="58">
        <v>50.6</v>
      </c>
    </row>
    <row r="37" spans="1:5">
      <c r="A37" s="57" t="s">
        <v>10</v>
      </c>
      <c r="B37" s="58" t="s">
        <v>84</v>
      </c>
      <c r="C37" s="58">
        <v>74.5</v>
      </c>
      <c r="D37" s="58">
        <v>25.8</v>
      </c>
      <c r="E37" s="58">
        <v>50.1</v>
      </c>
    </row>
    <row r="38" spans="1:5">
      <c r="A38" s="57" t="s">
        <v>10</v>
      </c>
      <c r="B38" s="58" t="s">
        <v>85</v>
      </c>
      <c r="C38" s="58">
        <v>65.099999999999994</v>
      </c>
      <c r="D38" s="58">
        <v>31.6</v>
      </c>
      <c r="E38" s="58">
        <v>48.7</v>
      </c>
    </row>
    <row r="39" spans="1:5">
      <c r="A39" s="57" t="s">
        <v>10</v>
      </c>
      <c r="B39" s="58" t="s">
        <v>46</v>
      </c>
      <c r="C39" s="58">
        <v>77.5</v>
      </c>
      <c r="D39" s="58">
        <v>27.4</v>
      </c>
      <c r="E39" s="58">
        <v>52.7</v>
      </c>
    </row>
    <row r="40" spans="1:5">
      <c r="A40" s="59"/>
      <c r="B40" s="59"/>
      <c r="C40" s="59"/>
      <c r="D40" s="59"/>
      <c r="E40" s="59"/>
    </row>
    <row r="41" spans="1:5">
      <c r="A41" s="60" t="s">
        <v>47</v>
      </c>
      <c r="B41" s="60" t="s">
        <v>12</v>
      </c>
      <c r="C41" s="60">
        <v>73.900000000000006</v>
      </c>
      <c r="D41" s="60">
        <v>44</v>
      </c>
      <c r="E41" s="60">
        <v>58.6</v>
      </c>
    </row>
    <row r="42" spans="1:5">
      <c r="A42" s="57" t="s">
        <v>47</v>
      </c>
      <c r="B42" s="58" t="s">
        <v>79</v>
      </c>
      <c r="C42" s="58">
        <v>79.099999999999994</v>
      </c>
      <c r="D42" s="58">
        <v>39.799999999999997</v>
      </c>
      <c r="E42" s="58">
        <v>60</v>
      </c>
    </row>
    <row r="43" spans="1:5">
      <c r="A43" s="57" t="s">
        <v>47</v>
      </c>
      <c r="B43" s="58" t="s">
        <v>13</v>
      </c>
      <c r="C43" s="58">
        <v>73.3</v>
      </c>
      <c r="D43" s="58">
        <v>56</v>
      </c>
      <c r="E43" s="58">
        <v>64.900000000000006</v>
      </c>
    </row>
    <row r="44" spans="1:5">
      <c r="A44" s="57" t="s">
        <v>47</v>
      </c>
      <c r="B44" s="58" t="s">
        <v>14</v>
      </c>
      <c r="C44" s="58">
        <v>88.9</v>
      </c>
      <c r="D44" s="58">
        <v>19.600000000000001</v>
      </c>
      <c r="E44" s="58">
        <v>54.5</v>
      </c>
    </row>
    <row r="45" spans="1:5">
      <c r="A45" s="57" t="s">
        <v>47</v>
      </c>
      <c r="B45" s="58" t="s">
        <v>15</v>
      </c>
      <c r="C45" s="58">
        <v>71.2</v>
      </c>
      <c r="D45" s="58">
        <v>22</v>
      </c>
      <c r="E45" s="58">
        <v>47</v>
      </c>
    </row>
    <row r="46" spans="1:5">
      <c r="A46" s="57" t="s">
        <v>47</v>
      </c>
      <c r="B46" s="58" t="s">
        <v>16</v>
      </c>
      <c r="C46" s="58">
        <v>69.2</v>
      </c>
      <c r="D46" s="58">
        <v>20.8</v>
      </c>
      <c r="E46" s="58">
        <v>45.6</v>
      </c>
    </row>
    <row r="47" spans="1:5">
      <c r="A47" s="57" t="s">
        <v>47</v>
      </c>
      <c r="B47" s="58" t="s">
        <v>80</v>
      </c>
      <c r="C47" s="58">
        <v>81.2</v>
      </c>
      <c r="D47" s="58">
        <v>58.6</v>
      </c>
      <c r="E47" s="58">
        <v>70.099999999999994</v>
      </c>
    </row>
    <row r="48" spans="1:5">
      <c r="A48" s="57" t="s">
        <v>47</v>
      </c>
      <c r="B48" s="58" t="s">
        <v>81</v>
      </c>
      <c r="C48" s="58">
        <v>88</v>
      </c>
      <c r="D48" s="58">
        <v>35.4</v>
      </c>
      <c r="E48" s="58">
        <v>65</v>
      </c>
    </row>
    <row r="49" spans="1:5">
      <c r="A49" s="57" t="s">
        <v>47</v>
      </c>
      <c r="B49" s="58" t="s">
        <v>18</v>
      </c>
      <c r="C49" s="58">
        <v>73.099999999999994</v>
      </c>
      <c r="D49" s="58">
        <v>14.5</v>
      </c>
      <c r="E49" s="58">
        <v>45.8</v>
      </c>
    </row>
    <row r="50" spans="1:5">
      <c r="A50" s="57" t="s">
        <v>47</v>
      </c>
      <c r="B50" s="58" t="s">
        <v>19</v>
      </c>
      <c r="C50" s="58">
        <v>66.8</v>
      </c>
      <c r="D50" s="58">
        <v>24</v>
      </c>
      <c r="E50" s="58">
        <v>45.1</v>
      </c>
    </row>
    <row r="51" spans="1:5">
      <c r="A51" s="57" t="s">
        <v>47</v>
      </c>
      <c r="B51" s="58" t="s">
        <v>20</v>
      </c>
      <c r="C51" s="58">
        <v>80.400000000000006</v>
      </c>
      <c r="D51" s="58">
        <v>41.7</v>
      </c>
      <c r="E51" s="58">
        <v>61.5</v>
      </c>
    </row>
    <row r="52" spans="1:5">
      <c r="A52" s="57" t="s">
        <v>47</v>
      </c>
      <c r="B52" s="58" t="s">
        <v>21</v>
      </c>
      <c r="C52" s="58">
        <v>68.2</v>
      </c>
      <c r="D52" s="58">
        <v>19.7</v>
      </c>
      <c r="E52" s="58">
        <v>44.9</v>
      </c>
    </row>
    <row r="53" spans="1:5">
      <c r="A53" s="57" t="s">
        <v>47</v>
      </c>
      <c r="B53" s="58" t="s">
        <v>22</v>
      </c>
      <c r="C53" s="58">
        <v>80.3</v>
      </c>
      <c r="D53" s="58">
        <v>67.599999999999994</v>
      </c>
      <c r="E53" s="58">
        <v>73.8</v>
      </c>
    </row>
    <row r="54" spans="1:5">
      <c r="A54" s="57" t="s">
        <v>47</v>
      </c>
      <c r="B54" s="58" t="s">
        <v>82</v>
      </c>
      <c r="C54" s="58">
        <v>74.2</v>
      </c>
      <c r="D54" s="58">
        <v>46.9</v>
      </c>
      <c r="E54" s="58">
        <v>60.7</v>
      </c>
    </row>
    <row r="55" spans="1:5">
      <c r="A55" s="57" t="s">
        <v>47</v>
      </c>
      <c r="B55" s="58" t="s">
        <v>24</v>
      </c>
      <c r="C55" s="58">
        <v>76.8</v>
      </c>
      <c r="D55" s="58">
        <v>45.5</v>
      </c>
      <c r="E55" s="58">
        <v>60.9</v>
      </c>
    </row>
    <row r="56" spans="1:5">
      <c r="A56" s="57" t="s">
        <v>47</v>
      </c>
      <c r="B56" s="58" t="s">
        <v>25</v>
      </c>
      <c r="C56" s="58">
        <v>73.599999999999994</v>
      </c>
      <c r="D56" s="58">
        <v>37.200000000000003</v>
      </c>
      <c r="E56" s="58">
        <v>55.6</v>
      </c>
    </row>
    <row r="57" spans="1:5">
      <c r="A57" s="57" t="s">
        <v>47</v>
      </c>
      <c r="B57" s="58" t="s">
        <v>26</v>
      </c>
      <c r="C57" s="58">
        <v>70.2</v>
      </c>
      <c r="D57" s="58">
        <v>33.5</v>
      </c>
      <c r="E57" s="58">
        <v>50.5</v>
      </c>
    </row>
    <row r="58" spans="1:5">
      <c r="A58" s="57" t="s">
        <v>47</v>
      </c>
      <c r="B58" s="58" t="s">
        <v>27</v>
      </c>
      <c r="C58" s="58">
        <v>58.3</v>
      </c>
      <c r="D58" s="58">
        <v>55.6</v>
      </c>
      <c r="E58" s="58">
        <v>57</v>
      </c>
    </row>
    <row r="59" spans="1:5">
      <c r="A59" s="57" t="s">
        <v>47</v>
      </c>
      <c r="B59" s="58" t="s">
        <v>28</v>
      </c>
      <c r="C59" s="58">
        <v>52.3</v>
      </c>
      <c r="D59" s="58">
        <v>14.8</v>
      </c>
      <c r="E59" s="58">
        <v>35.5</v>
      </c>
    </row>
    <row r="60" spans="1:5">
      <c r="A60" s="57" t="s">
        <v>47</v>
      </c>
      <c r="B60" s="58" t="s">
        <v>29</v>
      </c>
      <c r="C60" s="58">
        <v>81.900000000000006</v>
      </c>
      <c r="D60" s="58">
        <v>43.8</v>
      </c>
      <c r="E60" s="58">
        <v>63.4</v>
      </c>
    </row>
    <row r="61" spans="1:5">
      <c r="A61" s="57" t="s">
        <v>47</v>
      </c>
      <c r="B61" s="58" t="s">
        <v>30</v>
      </c>
      <c r="C61" s="58">
        <v>74.7</v>
      </c>
      <c r="D61" s="58">
        <v>39.799999999999997</v>
      </c>
      <c r="E61" s="58">
        <v>57.6</v>
      </c>
    </row>
    <row r="62" spans="1:5">
      <c r="A62" s="57" t="s">
        <v>47</v>
      </c>
      <c r="B62" s="58" t="s">
        <v>31</v>
      </c>
      <c r="C62" s="58">
        <v>67.2</v>
      </c>
      <c r="D62" s="58">
        <v>29.9</v>
      </c>
      <c r="E62" s="58">
        <v>48.7</v>
      </c>
    </row>
    <row r="63" spans="1:5">
      <c r="A63" s="57" t="s">
        <v>47</v>
      </c>
      <c r="B63" s="58" t="s">
        <v>32</v>
      </c>
      <c r="C63" s="58">
        <v>76.3</v>
      </c>
      <c r="D63" s="58">
        <v>56</v>
      </c>
      <c r="E63" s="58">
        <v>65.8</v>
      </c>
    </row>
    <row r="64" spans="1:5">
      <c r="A64" s="57" t="s">
        <v>47</v>
      </c>
      <c r="B64" s="58" t="s">
        <v>33</v>
      </c>
      <c r="C64" s="58">
        <v>66</v>
      </c>
      <c r="D64" s="58">
        <v>43.8</v>
      </c>
      <c r="E64" s="58">
        <v>55.2</v>
      </c>
    </row>
    <row r="65" spans="1:5">
      <c r="A65" s="57" t="s">
        <v>47</v>
      </c>
      <c r="B65" s="58" t="s">
        <v>34</v>
      </c>
      <c r="C65" s="58">
        <v>75.400000000000006</v>
      </c>
      <c r="D65" s="58">
        <v>62.9</v>
      </c>
      <c r="E65" s="58">
        <v>69.400000000000006</v>
      </c>
    </row>
    <row r="66" spans="1:5">
      <c r="A66" s="57" t="s">
        <v>47</v>
      </c>
      <c r="B66" s="58" t="s">
        <v>35</v>
      </c>
      <c r="C66" s="58">
        <v>74.400000000000006</v>
      </c>
      <c r="D66" s="58">
        <v>43.6</v>
      </c>
      <c r="E66" s="58">
        <v>58.9</v>
      </c>
    </row>
    <row r="67" spans="1:5">
      <c r="A67" s="57" t="s">
        <v>47</v>
      </c>
      <c r="B67" s="58" t="s">
        <v>36</v>
      </c>
      <c r="C67" s="58">
        <v>70.7</v>
      </c>
      <c r="D67" s="58">
        <v>31.6</v>
      </c>
      <c r="E67" s="58">
        <v>49.6</v>
      </c>
    </row>
    <row r="68" spans="1:5">
      <c r="A68" s="57" t="s">
        <v>47</v>
      </c>
      <c r="B68" s="58" t="s">
        <v>37</v>
      </c>
      <c r="C68" s="58">
        <v>74.2</v>
      </c>
      <c r="D68" s="58">
        <v>25.2</v>
      </c>
      <c r="E68" s="58">
        <v>50.2</v>
      </c>
    </row>
    <row r="69" spans="1:5">
      <c r="A69" s="57" t="s">
        <v>47</v>
      </c>
      <c r="B69" s="58" t="s">
        <v>38</v>
      </c>
      <c r="C69" s="58">
        <v>70.8</v>
      </c>
      <c r="D69" s="58">
        <v>46.5</v>
      </c>
      <c r="E69" s="58">
        <v>58.8</v>
      </c>
    </row>
    <row r="70" spans="1:5">
      <c r="A70" s="57" t="s">
        <v>47</v>
      </c>
      <c r="B70" s="58" t="s">
        <v>39</v>
      </c>
      <c r="C70" s="58">
        <v>80.900000000000006</v>
      </c>
      <c r="D70" s="58">
        <v>66.400000000000006</v>
      </c>
      <c r="E70" s="58">
        <v>74</v>
      </c>
    </row>
    <row r="71" spans="1:5">
      <c r="A71" s="57" t="s">
        <v>47</v>
      </c>
      <c r="B71" s="58" t="s">
        <v>83</v>
      </c>
      <c r="C71" s="58">
        <v>71.400000000000006</v>
      </c>
      <c r="D71" s="58">
        <v>38.6</v>
      </c>
      <c r="E71" s="58">
        <v>54.7</v>
      </c>
    </row>
    <row r="72" spans="1:5">
      <c r="A72" s="57" t="s">
        <v>47</v>
      </c>
      <c r="B72" s="58" t="s">
        <v>41</v>
      </c>
      <c r="C72" s="58">
        <v>72</v>
      </c>
      <c r="D72" s="58">
        <v>43.1</v>
      </c>
      <c r="E72" s="58">
        <v>57.7</v>
      </c>
    </row>
    <row r="73" spans="1:5">
      <c r="A73" s="57" t="s">
        <v>47</v>
      </c>
      <c r="B73" s="58" t="s">
        <v>43</v>
      </c>
      <c r="C73" s="58">
        <v>73.7</v>
      </c>
      <c r="D73" s="58">
        <v>34.799999999999997</v>
      </c>
      <c r="E73" s="58">
        <v>54.3</v>
      </c>
    </row>
    <row r="74" spans="1:5">
      <c r="A74" s="57" t="s">
        <v>47</v>
      </c>
      <c r="B74" s="58" t="s">
        <v>84</v>
      </c>
      <c r="C74" s="58">
        <v>70.099999999999994</v>
      </c>
      <c r="D74" s="58">
        <v>37</v>
      </c>
      <c r="E74" s="58">
        <v>53.5</v>
      </c>
    </row>
    <row r="75" spans="1:5">
      <c r="A75" s="57" t="s">
        <v>47</v>
      </c>
      <c r="B75" s="58" t="s">
        <v>85</v>
      </c>
      <c r="C75" s="58">
        <v>77.2</v>
      </c>
      <c r="D75" s="58">
        <v>30.6</v>
      </c>
      <c r="E75" s="58">
        <v>53.9</v>
      </c>
    </row>
    <row r="76" spans="1:5">
      <c r="A76" s="57" t="s">
        <v>47</v>
      </c>
      <c r="B76" s="58" t="s">
        <v>46</v>
      </c>
      <c r="C76" s="58">
        <v>79</v>
      </c>
      <c r="D76" s="58">
        <v>33.1</v>
      </c>
      <c r="E76" s="58">
        <v>56.1</v>
      </c>
    </row>
    <row r="77" spans="1:5">
      <c r="A77" s="59"/>
      <c r="B77" s="59"/>
      <c r="C77" s="59"/>
      <c r="D77" s="59"/>
      <c r="E77" s="59"/>
    </row>
    <row r="78" spans="1:5">
      <c r="A78" s="60" t="s">
        <v>48</v>
      </c>
      <c r="B78" s="60" t="s">
        <v>12</v>
      </c>
      <c r="C78" s="60">
        <v>73.400000000000006</v>
      </c>
      <c r="D78" s="60">
        <v>43.1</v>
      </c>
      <c r="E78" s="60">
        <v>57.8</v>
      </c>
    </row>
    <row r="79" spans="1:5">
      <c r="A79" s="57" t="s">
        <v>48</v>
      </c>
      <c r="B79" s="58" t="s">
        <v>79</v>
      </c>
      <c r="C79" s="58">
        <v>78.400000000000006</v>
      </c>
      <c r="D79" s="58">
        <v>36.700000000000003</v>
      </c>
      <c r="E79" s="58">
        <v>58</v>
      </c>
    </row>
    <row r="80" spans="1:5">
      <c r="A80" s="57" t="s">
        <v>48</v>
      </c>
      <c r="B80" s="58" t="s">
        <v>13</v>
      </c>
      <c r="C80" s="58">
        <v>74.400000000000006</v>
      </c>
      <c r="D80" s="58">
        <v>62.4</v>
      </c>
      <c r="E80" s="58">
        <v>68.5</v>
      </c>
    </row>
    <row r="81" spans="1:5">
      <c r="A81" s="57" t="s">
        <v>48</v>
      </c>
      <c r="B81" s="58" t="s">
        <v>14</v>
      </c>
      <c r="C81" s="58">
        <v>80.2</v>
      </c>
      <c r="D81" s="58">
        <v>48.1</v>
      </c>
      <c r="E81" s="58">
        <v>64.3</v>
      </c>
    </row>
    <row r="82" spans="1:5">
      <c r="A82" s="57" t="s">
        <v>48</v>
      </c>
      <c r="B82" s="58" t="s">
        <v>15</v>
      </c>
      <c r="C82" s="58">
        <v>73.099999999999994</v>
      </c>
      <c r="D82" s="58">
        <v>30.1</v>
      </c>
      <c r="E82" s="58">
        <v>51.6</v>
      </c>
    </row>
    <row r="83" spans="1:5">
      <c r="A83" s="57" t="s">
        <v>48</v>
      </c>
      <c r="B83" s="58" t="s">
        <v>16</v>
      </c>
      <c r="C83" s="58">
        <v>73.900000000000006</v>
      </c>
      <c r="D83" s="58">
        <v>26.2</v>
      </c>
      <c r="E83" s="58">
        <v>50.9</v>
      </c>
    </row>
    <row r="84" spans="1:5">
      <c r="A84" s="57" t="s">
        <v>48</v>
      </c>
      <c r="B84" s="58" t="s">
        <v>80</v>
      </c>
      <c r="C84" s="58">
        <v>81.2</v>
      </c>
      <c r="D84" s="58">
        <v>58.1</v>
      </c>
      <c r="E84" s="58">
        <v>69.7</v>
      </c>
    </row>
    <row r="85" spans="1:5">
      <c r="A85" s="57" t="s">
        <v>48</v>
      </c>
      <c r="B85" s="58" t="s">
        <v>81</v>
      </c>
      <c r="C85" s="58">
        <v>85.3</v>
      </c>
      <c r="D85" s="58">
        <v>46</v>
      </c>
      <c r="E85" s="58">
        <v>67.8</v>
      </c>
    </row>
    <row r="86" spans="1:5">
      <c r="A86" s="57" t="s">
        <v>48</v>
      </c>
      <c r="B86" s="58" t="s">
        <v>18</v>
      </c>
      <c r="C86" s="58">
        <v>68.599999999999994</v>
      </c>
      <c r="D86" s="58">
        <v>18.3</v>
      </c>
      <c r="E86" s="58">
        <v>45.5</v>
      </c>
    </row>
    <row r="87" spans="1:5">
      <c r="A87" s="57" t="s">
        <v>48</v>
      </c>
      <c r="B87" s="58" t="s">
        <v>19</v>
      </c>
      <c r="C87" s="58">
        <v>70.2</v>
      </c>
      <c r="D87" s="58">
        <v>24.4</v>
      </c>
      <c r="E87" s="58">
        <v>47.4</v>
      </c>
    </row>
    <row r="88" spans="1:5">
      <c r="A88" s="57" t="s">
        <v>48</v>
      </c>
      <c r="B88" s="58" t="s">
        <v>20</v>
      </c>
      <c r="C88" s="58">
        <v>81.5</v>
      </c>
      <c r="D88" s="58">
        <v>45.6</v>
      </c>
      <c r="E88" s="58">
        <v>63.9</v>
      </c>
    </row>
    <row r="89" spans="1:5">
      <c r="A89" s="57" t="s">
        <v>48</v>
      </c>
      <c r="B89" s="58" t="s">
        <v>21</v>
      </c>
      <c r="C89" s="58">
        <v>69.900000000000006</v>
      </c>
      <c r="D89" s="58">
        <v>23.6</v>
      </c>
      <c r="E89" s="58">
        <v>47.8</v>
      </c>
    </row>
    <row r="90" spans="1:5">
      <c r="A90" s="57" t="s">
        <v>48</v>
      </c>
      <c r="B90" s="58" t="s">
        <v>22</v>
      </c>
      <c r="C90" s="58">
        <v>78.900000000000006</v>
      </c>
      <c r="D90" s="58">
        <v>62.3</v>
      </c>
      <c r="E90" s="58">
        <v>70.3</v>
      </c>
    </row>
    <row r="91" spans="1:5">
      <c r="A91" s="57" t="s">
        <v>48</v>
      </c>
      <c r="B91" s="58" t="s">
        <v>82</v>
      </c>
      <c r="C91" s="58">
        <v>72.900000000000006</v>
      </c>
      <c r="D91" s="58">
        <v>47.1</v>
      </c>
      <c r="E91" s="58">
        <v>60.4</v>
      </c>
    </row>
    <row r="92" spans="1:5">
      <c r="A92" s="57" t="s">
        <v>48</v>
      </c>
      <c r="B92" s="58" t="s">
        <v>24</v>
      </c>
      <c r="C92" s="58">
        <v>76.900000000000006</v>
      </c>
      <c r="D92" s="58">
        <v>49.6</v>
      </c>
      <c r="E92" s="58">
        <v>63</v>
      </c>
    </row>
    <row r="93" spans="1:5">
      <c r="A93" s="57" t="s">
        <v>48</v>
      </c>
      <c r="B93" s="58" t="s">
        <v>25</v>
      </c>
      <c r="C93" s="58">
        <v>73.099999999999994</v>
      </c>
      <c r="D93" s="58">
        <v>37.200000000000003</v>
      </c>
      <c r="E93" s="58">
        <v>55.2</v>
      </c>
    </row>
    <row r="94" spans="1:5">
      <c r="A94" s="57" t="s">
        <v>48</v>
      </c>
      <c r="B94" s="58" t="s">
        <v>26</v>
      </c>
      <c r="C94" s="58">
        <v>71.099999999999994</v>
      </c>
      <c r="D94" s="58">
        <v>36</v>
      </c>
      <c r="E94" s="58">
        <v>52.2</v>
      </c>
    </row>
    <row r="95" spans="1:5">
      <c r="A95" s="57" t="s">
        <v>48</v>
      </c>
      <c r="B95" s="58" t="s">
        <v>27</v>
      </c>
      <c r="C95" s="58">
        <v>70.7</v>
      </c>
      <c r="D95" s="58">
        <v>47.1</v>
      </c>
      <c r="E95" s="58">
        <v>59.3</v>
      </c>
    </row>
    <row r="96" spans="1:5">
      <c r="A96" s="57" t="s">
        <v>48</v>
      </c>
      <c r="B96" s="58" t="s">
        <v>28</v>
      </c>
      <c r="C96" s="58">
        <v>69</v>
      </c>
      <c r="D96" s="58">
        <v>11.3</v>
      </c>
      <c r="E96" s="58">
        <v>42.7</v>
      </c>
    </row>
    <row r="97" spans="1:5">
      <c r="A97" s="57" t="s">
        <v>48</v>
      </c>
      <c r="B97" s="58" t="s">
        <v>29</v>
      </c>
      <c r="C97" s="58">
        <v>84</v>
      </c>
      <c r="D97" s="58">
        <v>51.9</v>
      </c>
      <c r="E97" s="58">
        <v>68.3</v>
      </c>
    </row>
    <row r="98" spans="1:5">
      <c r="A98" s="57" t="s">
        <v>48</v>
      </c>
      <c r="B98" s="58" t="s">
        <v>30</v>
      </c>
      <c r="C98" s="58">
        <v>74.400000000000006</v>
      </c>
      <c r="D98" s="58">
        <v>39.1</v>
      </c>
      <c r="E98" s="58">
        <v>57</v>
      </c>
    </row>
    <row r="99" spans="1:5">
      <c r="A99" s="57" t="s">
        <v>48</v>
      </c>
      <c r="B99" s="58" t="s">
        <v>31</v>
      </c>
      <c r="C99" s="58">
        <v>67.2</v>
      </c>
      <c r="D99" s="58">
        <v>45</v>
      </c>
      <c r="E99" s="58">
        <v>56</v>
      </c>
    </row>
    <row r="100" spans="1:5">
      <c r="A100" s="57" t="s">
        <v>48</v>
      </c>
      <c r="B100" s="58" t="s">
        <v>32</v>
      </c>
      <c r="C100" s="58">
        <v>78.7</v>
      </c>
      <c r="D100" s="58">
        <v>65.900000000000006</v>
      </c>
      <c r="E100" s="58">
        <v>72.099999999999994</v>
      </c>
    </row>
    <row r="101" spans="1:5">
      <c r="A101" s="57" t="s">
        <v>48</v>
      </c>
      <c r="B101" s="58" t="s">
        <v>33</v>
      </c>
      <c r="C101" s="58">
        <v>64.599999999999994</v>
      </c>
      <c r="D101" s="58">
        <v>40.700000000000003</v>
      </c>
      <c r="E101" s="58">
        <v>53</v>
      </c>
    </row>
    <row r="102" spans="1:5">
      <c r="A102" s="57" t="s">
        <v>48</v>
      </c>
      <c r="B102" s="58" t="s">
        <v>34</v>
      </c>
      <c r="C102" s="58">
        <v>76.599999999999994</v>
      </c>
      <c r="D102" s="58">
        <v>59.7</v>
      </c>
      <c r="E102" s="58">
        <v>68.099999999999994</v>
      </c>
    </row>
    <row r="103" spans="1:5">
      <c r="A103" s="57" t="s">
        <v>48</v>
      </c>
      <c r="B103" s="58" t="s">
        <v>35</v>
      </c>
      <c r="C103" s="58">
        <v>78.900000000000006</v>
      </c>
      <c r="D103" s="58">
        <v>48</v>
      </c>
      <c r="E103" s="58">
        <v>62.9</v>
      </c>
    </row>
    <row r="104" spans="1:5">
      <c r="A104" s="57" t="s">
        <v>48</v>
      </c>
      <c r="B104" s="58" t="s">
        <v>36</v>
      </c>
      <c r="C104" s="58">
        <v>70.5</v>
      </c>
      <c r="D104" s="58">
        <v>32.200000000000003</v>
      </c>
      <c r="E104" s="58">
        <v>50</v>
      </c>
    </row>
    <row r="105" spans="1:5">
      <c r="A105" s="57" t="s">
        <v>48</v>
      </c>
      <c r="B105" s="58" t="s">
        <v>37</v>
      </c>
      <c r="C105" s="58">
        <v>75.900000000000006</v>
      </c>
      <c r="D105" s="58">
        <v>28.9</v>
      </c>
      <c r="E105" s="58">
        <v>52.7</v>
      </c>
    </row>
    <row r="106" spans="1:5">
      <c r="A106" s="57" t="s">
        <v>48</v>
      </c>
      <c r="B106" s="58" t="s">
        <v>38</v>
      </c>
      <c r="C106" s="58">
        <v>74.8</v>
      </c>
      <c r="D106" s="58">
        <v>48.9</v>
      </c>
      <c r="E106" s="58">
        <v>61.7</v>
      </c>
    </row>
    <row r="107" spans="1:5">
      <c r="A107" s="57" t="s">
        <v>48</v>
      </c>
      <c r="B107" s="58" t="s">
        <v>39</v>
      </c>
      <c r="C107" s="58">
        <v>81.3</v>
      </c>
      <c r="D107" s="58">
        <v>66.8</v>
      </c>
      <c r="E107" s="58">
        <v>74.400000000000006</v>
      </c>
    </row>
    <row r="108" spans="1:5">
      <c r="A108" s="57" t="s">
        <v>48</v>
      </c>
      <c r="B108" s="58" t="s">
        <v>83</v>
      </c>
      <c r="C108" s="58">
        <v>73.2</v>
      </c>
      <c r="D108" s="58">
        <v>41.5</v>
      </c>
      <c r="E108" s="58">
        <v>56.8</v>
      </c>
    </row>
    <row r="109" spans="1:5">
      <c r="A109" s="57" t="s">
        <v>48</v>
      </c>
      <c r="B109" s="58" t="s">
        <v>41</v>
      </c>
      <c r="C109" s="58">
        <v>74.8</v>
      </c>
      <c r="D109" s="58">
        <v>44.3</v>
      </c>
      <c r="E109" s="58">
        <v>59.2</v>
      </c>
    </row>
    <row r="110" spans="1:5">
      <c r="A110" s="57" t="s">
        <v>48</v>
      </c>
      <c r="B110" s="58" t="s">
        <v>43</v>
      </c>
      <c r="C110" s="58">
        <v>77.5</v>
      </c>
      <c r="D110" s="58">
        <v>46.3</v>
      </c>
      <c r="E110" s="58">
        <v>62</v>
      </c>
    </row>
    <row r="111" spans="1:5">
      <c r="A111" s="57" t="s">
        <v>48</v>
      </c>
      <c r="B111" s="58" t="s">
        <v>84</v>
      </c>
      <c r="C111" s="58">
        <v>76.900000000000006</v>
      </c>
      <c r="D111" s="58">
        <v>33.6</v>
      </c>
      <c r="E111" s="58">
        <v>55.1</v>
      </c>
    </row>
    <row r="112" spans="1:5">
      <c r="A112" s="57" t="s">
        <v>48</v>
      </c>
      <c r="B112" s="58" t="s">
        <v>85</v>
      </c>
      <c r="C112" s="58">
        <v>73</v>
      </c>
      <c r="D112" s="58">
        <v>43.7</v>
      </c>
      <c r="E112" s="58">
        <v>58.1</v>
      </c>
    </row>
    <row r="113" spans="1:5">
      <c r="A113" s="57" t="s">
        <v>48</v>
      </c>
      <c r="B113" s="58" t="s">
        <v>46</v>
      </c>
      <c r="C113" s="58">
        <v>80.5</v>
      </c>
      <c r="D113" s="58">
        <v>39.200000000000003</v>
      </c>
      <c r="E113" s="58">
        <v>59.6</v>
      </c>
    </row>
  </sheetData>
  <sortState xmlns:xlrd2="http://schemas.microsoft.com/office/spreadsheetml/2017/richdata2" ref="A79:E113">
    <sortCondition ref="B79:B113"/>
  </sortState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E03E-6627-4A79-A74C-AEAD744C508A}">
  <dimension ref="A1:E113"/>
  <sheetViews>
    <sheetView tabSelected="1" workbookViewId="0">
      <selection activeCell="M20" sqref="M20"/>
    </sheetView>
  </sheetViews>
  <sheetFormatPr defaultRowHeight="15"/>
  <cols>
    <col min="1" max="1" width="8.28515625" bestFit="1" customWidth="1"/>
    <col min="2" max="2" width="34.28515625" bestFit="1" customWidth="1"/>
    <col min="3" max="3" width="6.7109375" bestFit="1" customWidth="1"/>
    <col min="4" max="4" width="8.85546875" bestFit="1" customWidth="1"/>
    <col min="5" max="5" width="6.85546875" bestFit="1" customWidth="1"/>
  </cols>
  <sheetData>
    <row r="1" spans="1:5">
      <c r="A1" s="61" t="s">
        <v>86</v>
      </c>
      <c r="B1" s="62"/>
      <c r="C1" s="62"/>
      <c r="D1" s="62"/>
      <c r="E1" s="62"/>
    </row>
    <row r="2" spans="1:5">
      <c r="A2" s="62"/>
      <c r="B2" s="62"/>
      <c r="C2" s="62"/>
      <c r="D2" s="62"/>
      <c r="E2" s="62"/>
    </row>
    <row r="3" spans="1:5" ht="15.75">
      <c r="A3" s="13" t="s">
        <v>2</v>
      </c>
      <c r="B3" s="13" t="s">
        <v>58</v>
      </c>
      <c r="C3" s="13" t="s">
        <v>76</v>
      </c>
      <c r="D3" s="13" t="s">
        <v>77</v>
      </c>
      <c r="E3" s="13" t="s">
        <v>78</v>
      </c>
    </row>
    <row r="4" spans="1:5">
      <c r="A4" s="55" t="s">
        <v>10</v>
      </c>
      <c r="B4" s="56" t="s">
        <v>12</v>
      </c>
      <c r="C4" s="56">
        <v>4.5999999999999996</v>
      </c>
      <c r="D4" s="56">
        <v>3.5</v>
      </c>
      <c r="E4" s="56">
        <v>4.2</v>
      </c>
    </row>
    <row r="5" spans="1:5">
      <c r="A5" s="57" t="s">
        <v>10</v>
      </c>
      <c r="B5" s="58" t="s">
        <v>87</v>
      </c>
      <c r="C5" s="58">
        <v>4.3</v>
      </c>
      <c r="D5" s="58">
        <v>14.1</v>
      </c>
      <c r="E5" s="58">
        <v>7.8</v>
      </c>
    </row>
    <row r="6" spans="1:5">
      <c r="A6" s="57" t="s">
        <v>10</v>
      </c>
      <c r="B6" s="58" t="s">
        <v>13</v>
      </c>
      <c r="C6" s="58">
        <v>7</v>
      </c>
      <c r="D6" s="58">
        <v>9.5</v>
      </c>
      <c r="E6" s="58">
        <v>7.7</v>
      </c>
    </row>
    <row r="7" spans="1:5">
      <c r="A7" s="57" t="s">
        <v>10</v>
      </c>
      <c r="B7" s="58" t="s">
        <v>14</v>
      </c>
      <c r="C7" s="58">
        <v>3.5</v>
      </c>
      <c r="D7" s="58">
        <v>5</v>
      </c>
      <c r="E7" s="58">
        <v>3.9</v>
      </c>
    </row>
    <row r="8" spans="1:5">
      <c r="A8" s="57" t="s">
        <v>10</v>
      </c>
      <c r="B8" s="58" t="s">
        <v>15</v>
      </c>
      <c r="C8" s="58">
        <v>6.4</v>
      </c>
      <c r="D8" s="58">
        <v>2.8</v>
      </c>
      <c r="E8" s="58">
        <v>5.9</v>
      </c>
    </row>
    <row r="9" spans="1:5">
      <c r="A9" s="57" t="s">
        <v>10</v>
      </c>
      <c r="B9" s="58" t="s">
        <v>16</v>
      </c>
      <c r="C9" s="58">
        <v>5.9</v>
      </c>
      <c r="D9" s="58">
        <v>8</v>
      </c>
      <c r="E9" s="58">
        <v>6.3</v>
      </c>
    </row>
    <row r="10" spans="1:5">
      <c r="A10" s="57" t="s">
        <v>10</v>
      </c>
      <c r="B10" s="58" t="s">
        <v>80</v>
      </c>
      <c r="C10" s="58">
        <v>2.8</v>
      </c>
      <c r="D10" s="58">
        <v>1.8</v>
      </c>
      <c r="E10" s="58">
        <v>2.4</v>
      </c>
    </row>
    <row r="11" spans="1:5">
      <c r="A11" s="57" t="s">
        <v>10</v>
      </c>
      <c r="B11" s="58" t="s">
        <v>81</v>
      </c>
      <c r="C11" s="58">
        <v>4</v>
      </c>
      <c r="D11" s="58">
        <v>8.5</v>
      </c>
      <c r="E11" s="58">
        <v>5.2</v>
      </c>
    </row>
    <row r="12" spans="1:5">
      <c r="A12" s="57" t="s">
        <v>10</v>
      </c>
      <c r="B12" s="58" t="s">
        <v>18</v>
      </c>
      <c r="C12" s="58">
        <v>5.0999999999999996</v>
      </c>
      <c r="D12" s="58">
        <v>6</v>
      </c>
      <c r="E12" s="58">
        <v>5.3</v>
      </c>
    </row>
    <row r="13" spans="1:5">
      <c r="A13" s="57" t="s">
        <v>10</v>
      </c>
      <c r="B13" s="58" t="s">
        <v>19</v>
      </c>
      <c r="C13" s="58">
        <v>9.9</v>
      </c>
      <c r="D13" s="58">
        <v>19.7</v>
      </c>
      <c r="E13" s="58">
        <v>12</v>
      </c>
    </row>
    <row r="14" spans="1:5">
      <c r="A14" s="57" t="s">
        <v>10</v>
      </c>
      <c r="B14" s="58" t="s">
        <v>20</v>
      </c>
      <c r="C14" s="58">
        <v>2.2999999999999998</v>
      </c>
      <c r="D14" s="58">
        <v>1.3</v>
      </c>
      <c r="E14" s="58">
        <v>2</v>
      </c>
    </row>
    <row r="15" spans="1:5">
      <c r="A15" s="57" t="s">
        <v>10</v>
      </c>
      <c r="B15" s="58" t="s">
        <v>21</v>
      </c>
      <c r="C15" s="58">
        <v>8.9</v>
      </c>
      <c r="D15" s="58">
        <v>9.1</v>
      </c>
      <c r="E15" s="58">
        <v>9</v>
      </c>
    </row>
    <row r="16" spans="1:5">
      <c r="A16" s="57" t="s">
        <v>10</v>
      </c>
      <c r="B16" s="58" t="s">
        <v>22</v>
      </c>
      <c r="C16" s="58">
        <v>4.5999999999999996</v>
      </c>
      <c r="D16" s="58">
        <v>3.4</v>
      </c>
      <c r="E16" s="58">
        <v>4</v>
      </c>
    </row>
    <row r="17" spans="1:5">
      <c r="A17" s="57" t="s">
        <v>10</v>
      </c>
      <c r="B17" s="58" t="s">
        <v>82</v>
      </c>
      <c r="C17" s="58">
        <v>3.4</v>
      </c>
      <c r="D17" s="58">
        <v>8.5</v>
      </c>
      <c r="E17" s="58">
        <v>5.2</v>
      </c>
    </row>
    <row r="18" spans="1:5">
      <c r="A18" s="57" t="s">
        <v>10</v>
      </c>
      <c r="B18" s="58" t="s">
        <v>24</v>
      </c>
      <c r="C18" s="58">
        <v>2.7</v>
      </c>
      <c r="D18" s="58">
        <v>0.8</v>
      </c>
      <c r="E18" s="58">
        <v>2</v>
      </c>
    </row>
    <row r="19" spans="1:5">
      <c r="A19" s="57" t="s">
        <v>10</v>
      </c>
      <c r="B19" s="58" t="s">
        <v>25</v>
      </c>
      <c r="C19" s="58">
        <v>3.4</v>
      </c>
      <c r="D19" s="58">
        <v>2.5</v>
      </c>
      <c r="E19" s="58">
        <v>3.2</v>
      </c>
    </row>
    <row r="20" spans="1:5">
      <c r="A20" s="57" t="s">
        <v>10</v>
      </c>
      <c r="B20" s="58" t="s">
        <v>26</v>
      </c>
      <c r="C20" s="58">
        <v>7.4</v>
      </c>
      <c r="D20" s="58">
        <v>13.5</v>
      </c>
      <c r="E20" s="58">
        <v>9.6</v>
      </c>
    </row>
    <row r="21" spans="1:5">
      <c r="A21" s="57" t="s">
        <v>10</v>
      </c>
      <c r="B21" s="58" t="s">
        <v>27</v>
      </c>
      <c r="C21" s="58">
        <v>4.4000000000000004</v>
      </c>
      <c r="D21" s="58">
        <v>1.6</v>
      </c>
      <c r="E21" s="58">
        <v>3.3</v>
      </c>
    </row>
    <row r="22" spans="1:5">
      <c r="A22" s="57" t="s">
        <v>10</v>
      </c>
      <c r="B22" s="58" t="s">
        <v>28</v>
      </c>
      <c r="C22" s="58">
        <v>13</v>
      </c>
      <c r="D22" s="58">
        <v>35.200000000000003</v>
      </c>
      <c r="E22" s="58">
        <v>17.2</v>
      </c>
    </row>
    <row r="23" spans="1:5">
      <c r="A23" s="57" t="s">
        <v>10</v>
      </c>
      <c r="B23" s="58" t="s">
        <v>29</v>
      </c>
      <c r="C23" s="58">
        <v>2.6</v>
      </c>
      <c r="D23" s="58">
        <v>0.9</v>
      </c>
      <c r="E23" s="58">
        <v>2.1</v>
      </c>
    </row>
    <row r="24" spans="1:5">
      <c r="A24" s="57" t="s">
        <v>10</v>
      </c>
      <c r="B24" s="58" t="s">
        <v>30</v>
      </c>
      <c r="C24" s="58">
        <v>3.7</v>
      </c>
      <c r="D24" s="58">
        <v>2.9</v>
      </c>
      <c r="E24" s="58">
        <v>3.5</v>
      </c>
    </row>
    <row r="25" spans="1:5">
      <c r="A25" s="57" t="s">
        <v>10</v>
      </c>
      <c r="B25" s="58" t="s">
        <v>31</v>
      </c>
      <c r="C25" s="58">
        <v>7.6</v>
      </c>
      <c r="D25" s="58">
        <v>13</v>
      </c>
      <c r="E25" s="58">
        <v>9</v>
      </c>
    </row>
    <row r="26" spans="1:5">
      <c r="A26" s="57" t="s">
        <v>10</v>
      </c>
      <c r="B26" s="58" t="s">
        <v>32</v>
      </c>
      <c r="C26" s="58">
        <v>1.8</v>
      </c>
      <c r="D26" s="58">
        <v>3.7</v>
      </c>
      <c r="E26" s="58">
        <v>2.6</v>
      </c>
    </row>
    <row r="27" spans="1:5">
      <c r="A27" s="57" t="s">
        <v>10</v>
      </c>
      <c r="B27" s="58" t="s">
        <v>33</v>
      </c>
      <c r="C27" s="58">
        <v>4.0999999999999996</v>
      </c>
      <c r="D27" s="58">
        <v>7.9</v>
      </c>
      <c r="E27" s="58">
        <v>5.4</v>
      </c>
    </row>
    <row r="28" spans="1:5">
      <c r="A28" s="57" t="s">
        <v>10</v>
      </c>
      <c r="B28" s="58" t="s">
        <v>34</v>
      </c>
      <c r="C28" s="58">
        <v>8.6</v>
      </c>
      <c r="D28" s="58">
        <v>9.8000000000000007</v>
      </c>
      <c r="E28" s="58">
        <v>9.1</v>
      </c>
    </row>
    <row r="29" spans="1:5">
      <c r="A29" s="57" t="s">
        <v>10</v>
      </c>
      <c r="B29" s="58" t="s">
        <v>35</v>
      </c>
      <c r="C29" s="58">
        <v>6.7</v>
      </c>
      <c r="D29" s="58">
        <v>4.4000000000000004</v>
      </c>
      <c r="E29" s="58">
        <v>6</v>
      </c>
    </row>
    <row r="30" spans="1:5">
      <c r="A30" s="57" t="s">
        <v>10</v>
      </c>
      <c r="B30" s="58" t="s">
        <v>36</v>
      </c>
      <c r="C30" s="58">
        <v>6.8</v>
      </c>
      <c r="D30" s="58">
        <v>3.7</v>
      </c>
      <c r="E30" s="58">
        <v>5.8</v>
      </c>
    </row>
    <row r="31" spans="1:5">
      <c r="A31" s="57" t="s">
        <v>10</v>
      </c>
      <c r="B31" s="58" t="s">
        <v>37</v>
      </c>
      <c r="C31" s="58">
        <v>5.7</v>
      </c>
      <c r="D31" s="58">
        <v>8.6999999999999993</v>
      </c>
      <c r="E31" s="58">
        <v>6.4</v>
      </c>
    </row>
    <row r="32" spans="1:5">
      <c r="A32" s="57" t="s">
        <v>10</v>
      </c>
      <c r="B32" s="58" t="s">
        <v>38</v>
      </c>
      <c r="C32" s="58">
        <v>5.8</v>
      </c>
      <c r="D32" s="58">
        <v>2.5</v>
      </c>
      <c r="E32" s="58">
        <v>4.7</v>
      </c>
    </row>
    <row r="33" spans="1:5">
      <c r="A33" s="57" t="s">
        <v>10</v>
      </c>
      <c r="B33" s="58" t="s">
        <v>39</v>
      </c>
      <c r="C33" s="58">
        <v>1.1000000000000001</v>
      </c>
      <c r="D33" s="58">
        <v>2.2999999999999998</v>
      </c>
      <c r="E33" s="58">
        <v>1.6</v>
      </c>
    </row>
    <row r="34" spans="1:5">
      <c r="A34" s="57" t="s">
        <v>10</v>
      </c>
      <c r="B34" s="58" t="s">
        <v>83</v>
      </c>
      <c r="C34" s="58">
        <v>5.2</v>
      </c>
      <c r="D34" s="58">
        <v>4</v>
      </c>
      <c r="E34" s="58">
        <v>4.8</v>
      </c>
    </row>
    <row r="35" spans="1:5">
      <c r="A35" s="57" t="s">
        <v>10</v>
      </c>
      <c r="B35" s="58" t="s">
        <v>41</v>
      </c>
      <c r="C35" s="58">
        <v>3.9</v>
      </c>
      <c r="D35" s="58">
        <v>4.8</v>
      </c>
      <c r="E35" s="58">
        <v>4.2</v>
      </c>
    </row>
    <row r="36" spans="1:5">
      <c r="A36" s="57" t="s">
        <v>10</v>
      </c>
      <c r="B36" s="58" t="s">
        <v>43</v>
      </c>
      <c r="C36" s="58">
        <v>2.5</v>
      </c>
      <c r="D36" s="58">
        <v>4.5</v>
      </c>
      <c r="E36" s="58">
        <v>3</v>
      </c>
    </row>
    <row r="37" spans="1:5">
      <c r="A37" s="57" t="s">
        <v>10</v>
      </c>
      <c r="B37" s="58" t="s">
        <v>84</v>
      </c>
      <c r="C37" s="58">
        <v>3.3</v>
      </c>
      <c r="D37" s="58">
        <v>1.8</v>
      </c>
      <c r="E37" s="58">
        <v>2.9</v>
      </c>
    </row>
    <row r="38" spans="1:5">
      <c r="A38" s="57" t="s">
        <v>10</v>
      </c>
      <c r="B38" s="58" t="s">
        <v>85</v>
      </c>
      <c r="C38" s="58">
        <v>9.1999999999999993</v>
      </c>
      <c r="D38" s="58">
        <v>4.7</v>
      </c>
      <c r="E38" s="58">
        <v>7.8</v>
      </c>
    </row>
    <row r="39" spans="1:5">
      <c r="A39" s="57" t="s">
        <v>10</v>
      </c>
      <c r="B39" s="58" t="s">
        <v>46</v>
      </c>
      <c r="C39" s="58">
        <v>4</v>
      </c>
      <c r="D39" s="58">
        <v>1.8</v>
      </c>
      <c r="E39" s="58">
        <v>3.4</v>
      </c>
    </row>
    <row r="40" spans="1:5">
      <c r="A40" s="59"/>
      <c r="B40" s="59"/>
      <c r="C40" s="59"/>
      <c r="D40" s="59"/>
      <c r="E40" s="59"/>
    </row>
    <row r="41" spans="1:5">
      <c r="A41" s="60" t="s">
        <v>47</v>
      </c>
      <c r="B41" s="60" t="s">
        <v>12</v>
      </c>
      <c r="C41" s="60">
        <v>4.2</v>
      </c>
      <c r="D41" s="60">
        <v>4</v>
      </c>
      <c r="E41" s="60">
        <v>4.0999999999999996</v>
      </c>
    </row>
    <row r="42" spans="1:5">
      <c r="A42" s="57" t="s">
        <v>47</v>
      </c>
      <c r="B42" s="58" t="s">
        <v>87</v>
      </c>
      <c r="C42" s="58">
        <v>4</v>
      </c>
      <c r="D42" s="58">
        <v>19.8</v>
      </c>
      <c r="E42" s="58">
        <v>9.6999999999999993</v>
      </c>
    </row>
    <row r="43" spans="1:5">
      <c r="A43" s="57" t="s">
        <v>47</v>
      </c>
      <c r="B43" s="58" t="s">
        <v>13</v>
      </c>
      <c r="C43" s="58">
        <v>5</v>
      </c>
      <c r="D43" s="58">
        <v>4.5</v>
      </c>
      <c r="E43" s="58">
        <v>4.8</v>
      </c>
    </row>
    <row r="44" spans="1:5">
      <c r="A44" s="57" t="s">
        <v>47</v>
      </c>
      <c r="B44" s="58" t="s">
        <v>14</v>
      </c>
      <c r="C44" s="58">
        <v>1.3</v>
      </c>
      <c r="D44" s="58">
        <v>3.4</v>
      </c>
      <c r="E44" s="58">
        <v>1.7</v>
      </c>
    </row>
    <row r="45" spans="1:5">
      <c r="A45" s="57" t="s">
        <v>47</v>
      </c>
      <c r="B45" s="58" t="s">
        <v>15</v>
      </c>
      <c r="C45" s="58">
        <v>4.5999999999999996</v>
      </c>
      <c r="D45" s="58">
        <v>1.6</v>
      </c>
      <c r="E45" s="58">
        <v>3.9</v>
      </c>
    </row>
    <row r="46" spans="1:5">
      <c r="A46" s="57" t="s">
        <v>47</v>
      </c>
      <c r="B46" s="58" t="s">
        <v>16</v>
      </c>
      <c r="C46" s="58">
        <v>4.3</v>
      </c>
      <c r="D46" s="58">
        <v>2.9</v>
      </c>
      <c r="E46" s="58">
        <v>4</v>
      </c>
    </row>
    <row r="47" spans="1:5">
      <c r="A47" s="57" t="s">
        <v>47</v>
      </c>
      <c r="B47" s="58" t="s">
        <v>80</v>
      </c>
      <c r="C47" s="58">
        <v>2.8</v>
      </c>
      <c r="D47" s="58">
        <v>2</v>
      </c>
      <c r="E47" s="58">
        <v>2.4</v>
      </c>
    </row>
    <row r="48" spans="1:5">
      <c r="A48" s="57" t="s">
        <v>47</v>
      </c>
      <c r="B48" s="58" t="s">
        <v>81</v>
      </c>
      <c r="C48" s="58">
        <v>1.4</v>
      </c>
      <c r="D48" s="58">
        <v>5.9</v>
      </c>
      <c r="E48" s="58">
        <v>2.5</v>
      </c>
    </row>
    <row r="49" spans="1:5">
      <c r="A49" s="57" t="s">
        <v>47</v>
      </c>
      <c r="B49" s="58" t="s">
        <v>18</v>
      </c>
      <c r="C49" s="58">
        <v>1.8</v>
      </c>
      <c r="D49" s="58">
        <v>2.2000000000000002</v>
      </c>
      <c r="E49" s="58">
        <v>1.9</v>
      </c>
    </row>
    <row r="50" spans="1:5">
      <c r="A50" s="57" t="s">
        <v>47</v>
      </c>
      <c r="B50" s="58" t="s">
        <v>19</v>
      </c>
      <c r="C50" s="58">
        <v>7.7</v>
      </c>
      <c r="D50" s="58">
        <v>14.7</v>
      </c>
      <c r="E50" s="58">
        <v>9.6999999999999993</v>
      </c>
    </row>
    <row r="51" spans="1:5">
      <c r="A51" s="57" t="s">
        <v>47</v>
      </c>
      <c r="B51" s="58" t="s">
        <v>20</v>
      </c>
      <c r="C51" s="58">
        <v>1.9</v>
      </c>
      <c r="D51" s="58">
        <v>1.3</v>
      </c>
      <c r="E51" s="58">
        <v>1.7</v>
      </c>
    </row>
    <row r="52" spans="1:5">
      <c r="A52" s="57" t="s">
        <v>47</v>
      </c>
      <c r="B52" s="58" t="s">
        <v>21</v>
      </c>
      <c r="C52" s="58">
        <v>6.4</v>
      </c>
      <c r="D52" s="58">
        <v>4.7</v>
      </c>
      <c r="E52" s="58">
        <v>6.1</v>
      </c>
    </row>
    <row r="53" spans="1:5">
      <c r="A53" s="57" t="s">
        <v>47</v>
      </c>
      <c r="B53" s="58" t="s">
        <v>22</v>
      </c>
      <c r="C53" s="58">
        <v>3.4</v>
      </c>
      <c r="D53" s="58">
        <v>5.3</v>
      </c>
      <c r="E53" s="58">
        <v>4.3</v>
      </c>
    </row>
    <row r="54" spans="1:5">
      <c r="A54" s="57" t="s">
        <v>47</v>
      </c>
      <c r="B54" s="58" t="s">
        <v>82</v>
      </c>
      <c r="C54" s="58">
        <v>3</v>
      </c>
      <c r="D54" s="58">
        <v>6.5</v>
      </c>
      <c r="E54" s="58">
        <v>4.4000000000000004</v>
      </c>
    </row>
    <row r="55" spans="1:5">
      <c r="A55" s="57" t="s">
        <v>47</v>
      </c>
      <c r="B55" s="58" t="s">
        <v>24</v>
      </c>
      <c r="C55" s="58">
        <v>2.2999999999999998</v>
      </c>
      <c r="D55" s="58">
        <v>0.6</v>
      </c>
      <c r="E55" s="58">
        <v>1.7</v>
      </c>
    </row>
    <row r="56" spans="1:5">
      <c r="A56" s="57" t="s">
        <v>47</v>
      </c>
      <c r="B56" s="58" t="s">
        <v>25</v>
      </c>
      <c r="C56" s="58">
        <v>2.5</v>
      </c>
      <c r="D56" s="58">
        <v>2.4</v>
      </c>
      <c r="E56" s="58">
        <v>2.4</v>
      </c>
    </row>
    <row r="57" spans="1:5">
      <c r="A57" s="57" t="s">
        <v>47</v>
      </c>
      <c r="B57" s="58" t="s">
        <v>26</v>
      </c>
      <c r="C57" s="58">
        <v>4.8</v>
      </c>
      <c r="D57" s="58">
        <v>10.7</v>
      </c>
      <c r="E57" s="58">
        <v>7</v>
      </c>
    </row>
    <row r="58" spans="1:5">
      <c r="A58" s="57" t="s">
        <v>47</v>
      </c>
      <c r="B58" s="58" t="s">
        <v>27</v>
      </c>
      <c r="C58" s="58">
        <v>6.3</v>
      </c>
      <c r="D58" s="58">
        <v>6</v>
      </c>
      <c r="E58" s="58">
        <v>6.1</v>
      </c>
    </row>
    <row r="59" spans="1:5">
      <c r="A59" s="57" t="s">
        <v>47</v>
      </c>
      <c r="B59" s="58" t="s">
        <v>28</v>
      </c>
      <c r="C59" s="58">
        <v>10</v>
      </c>
      <c r="D59" s="58">
        <v>14.4</v>
      </c>
      <c r="E59" s="58">
        <v>11.1</v>
      </c>
    </row>
    <row r="60" spans="1:5">
      <c r="A60" s="57" t="s">
        <v>47</v>
      </c>
      <c r="B60" s="58" t="s">
        <v>29</v>
      </c>
      <c r="C60" s="58">
        <v>1.8</v>
      </c>
      <c r="D60" s="58">
        <v>1.2</v>
      </c>
      <c r="E60" s="58">
        <v>1.6</v>
      </c>
    </row>
    <row r="61" spans="1:5">
      <c r="A61" s="57" t="s">
        <v>47</v>
      </c>
      <c r="B61" s="58" t="s">
        <v>30</v>
      </c>
      <c r="C61" s="58">
        <v>3.5</v>
      </c>
      <c r="D61" s="58">
        <v>2.2999999999999998</v>
      </c>
      <c r="E61" s="58">
        <v>3.1</v>
      </c>
    </row>
    <row r="62" spans="1:5">
      <c r="A62" s="57" t="s">
        <v>47</v>
      </c>
      <c r="B62" s="58" t="s">
        <v>31</v>
      </c>
      <c r="C62" s="58">
        <v>4.8</v>
      </c>
      <c r="D62" s="58">
        <v>4.5</v>
      </c>
      <c r="E62" s="58">
        <v>4.7</v>
      </c>
    </row>
    <row r="63" spans="1:5">
      <c r="A63" s="57" t="s">
        <v>47</v>
      </c>
      <c r="B63" s="58" t="s">
        <v>32</v>
      </c>
      <c r="C63" s="58">
        <v>4.3</v>
      </c>
      <c r="D63" s="58">
        <v>8.1999999999999993</v>
      </c>
      <c r="E63" s="58">
        <v>6</v>
      </c>
    </row>
    <row r="64" spans="1:5">
      <c r="A64" s="57" t="s">
        <v>47</v>
      </c>
      <c r="B64" s="58" t="s">
        <v>33</v>
      </c>
      <c r="C64" s="58">
        <v>1.7</v>
      </c>
      <c r="D64" s="58">
        <v>3</v>
      </c>
      <c r="E64" s="58">
        <v>2.2000000000000002</v>
      </c>
    </row>
    <row r="65" spans="1:5">
      <c r="A65" s="57" t="s">
        <v>47</v>
      </c>
      <c r="B65" s="58" t="s">
        <v>34</v>
      </c>
      <c r="C65" s="58">
        <v>4.9000000000000004</v>
      </c>
      <c r="D65" s="58">
        <v>3.5</v>
      </c>
      <c r="E65" s="58">
        <v>4.3</v>
      </c>
    </row>
    <row r="66" spans="1:5">
      <c r="A66" s="57" t="s">
        <v>47</v>
      </c>
      <c r="B66" s="58" t="s">
        <v>35</v>
      </c>
      <c r="C66" s="58">
        <v>4.7</v>
      </c>
      <c r="D66" s="58">
        <v>2.4</v>
      </c>
      <c r="E66" s="58">
        <v>3.9</v>
      </c>
    </row>
    <row r="67" spans="1:5">
      <c r="A67" s="57" t="s">
        <v>47</v>
      </c>
      <c r="B67" s="58" t="s">
        <v>36</v>
      </c>
      <c r="C67" s="58">
        <v>5.5</v>
      </c>
      <c r="D67" s="58">
        <v>5.8</v>
      </c>
      <c r="E67" s="58">
        <v>5.6</v>
      </c>
    </row>
    <row r="68" spans="1:5">
      <c r="A68" s="57" t="s">
        <v>47</v>
      </c>
      <c r="B68" s="58" t="s">
        <v>37</v>
      </c>
      <c r="C68" s="58">
        <v>5.2</v>
      </c>
      <c r="D68" s="58">
        <v>8.6999999999999993</v>
      </c>
      <c r="E68" s="58">
        <v>6.1</v>
      </c>
    </row>
    <row r="69" spans="1:5">
      <c r="A69" s="57" t="s">
        <v>47</v>
      </c>
      <c r="B69" s="58" t="s">
        <v>38</v>
      </c>
      <c r="C69" s="58">
        <v>5.4</v>
      </c>
      <c r="D69" s="58">
        <v>2.9</v>
      </c>
      <c r="E69" s="58">
        <v>4.4000000000000004</v>
      </c>
    </row>
    <row r="70" spans="1:5">
      <c r="A70" s="57" t="s">
        <v>47</v>
      </c>
      <c r="B70" s="58" t="s">
        <v>39</v>
      </c>
      <c r="C70" s="58">
        <v>1.5</v>
      </c>
      <c r="D70" s="58">
        <v>3.1</v>
      </c>
      <c r="E70" s="58">
        <v>2.2000000000000002</v>
      </c>
    </row>
    <row r="71" spans="1:5">
      <c r="A71" s="57" t="s">
        <v>47</v>
      </c>
      <c r="B71" s="58" t="s">
        <v>83</v>
      </c>
      <c r="C71" s="58">
        <v>4.0999999999999996</v>
      </c>
      <c r="D71" s="58">
        <v>4.7</v>
      </c>
      <c r="E71" s="58">
        <v>4.3</v>
      </c>
    </row>
    <row r="72" spans="1:5">
      <c r="A72" s="57" t="s">
        <v>47</v>
      </c>
      <c r="B72" s="58" t="s">
        <v>41</v>
      </c>
      <c r="C72" s="58">
        <v>4.7</v>
      </c>
      <c r="D72" s="58">
        <v>3.8</v>
      </c>
      <c r="E72" s="58">
        <v>4.4000000000000004</v>
      </c>
    </row>
    <row r="73" spans="1:5">
      <c r="A73" s="57" t="s">
        <v>47</v>
      </c>
      <c r="B73" s="58" t="s">
        <v>43</v>
      </c>
      <c r="C73" s="58">
        <v>1.5</v>
      </c>
      <c r="D73" s="58">
        <v>1.1000000000000001</v>
      </c>
      <c r="E73" s="58">
        <v>1.4</v>
      </c>
    </row>
    <row r="74" spans="1:5">
      <c r="A74" s="57" t="s">
        <v>47</v>
      </c>
      <c r="B74" s="58" t="s">
        <v>84</v>
      </c>
      <c r="C74" s="58">
        <v>4.5999999999999996</v>
      </c>
      <c r="D74" s="58">
        <v>4.2</v>
      </c>
      <c r="E74" s="58">
        <v>4.5</v>
      </c>
    </row>
    <row r="75" spans="1:5">
      <c r="A75" s="57" t="s">
        <v>47</v>
      </c>
      <c r="B75" s="58" t="s">
        <v>85</v>
      </c>
      <c r="C75" s="58">
        <v>2.6</v>
      </c>
      <c r="D75" s="58">
        <v>1.8</v>
      </c>
      <c r="E75" s="58">
        <v>2.4</v>
      </c>
    </row>
    <row r="76" spans="1:5">
      <c r="A76" s="57" t="s">
        <v>47</v>
      </c>
      <c r="B76" s="58" t="s">
        <v>46</v>
      </c>
      <c r="C76" s="58">
        <v>2.2000000000000002</v>
      </c>
      <c r="D76" s="58">
        <v>2</v>
      </c>
      <c r="E76" s="58">
        <v>2.2000000000000002</v>
      </c>
    </row>
    <row r="77" spans="1:5">
      <c r="A77" s="59"/>
      <c r="B77" s="59"/>
      <c r="C77" s="59"/>
      <c r="D77" s="59"/>
      <c r="E77" s="59"/>
    </row>
    <row r="78" spans="1:5">
      <c r="A78" s="60" t="s">
        <v>48</v>
      </c>
      <c r="B78" s="60" t="s">
        <v>12</v>
      </c>
      <c r="C78" s="60">
        <v>4.3</v>
      </c>
      <c r="D78" s="60">
        <v>3.7</v>
      </c>
      <c r="E78" s="60">
        <v>4.0999999999999996</v>
      </c>
    </row>
    <row r="79" spans="1:5">
      <c r="A79" s="57" t="s">
        <v>48</v>
      </c>
      <c r="B79" s="58" t="s">
        <v>87</v>
      </c>
      <c r="C79" s="58">
        <v>7</v>
      </c>
      <c r="D79" s="58">
        <v>20.9</v>
      </c>
      <c r="E79" s="58">
        <v>11.8</v>
      </c>
    </row>
    <row r="80" spans="1:5">
      <c r="A80" s="57" t="s">
        <v>48</v>
      </c>
      <c r="B80" s="58" t="s">
        <v>13</v>
      </c>
      <c r="C80" s="58">
        <v>6.1</v>
      </c>
      <c r="D80" s="58">
        <v>6.2</v>
      </c>
      <c r="E80" s="58">
        <v>6.1</v>
      </c>
    </row>
    <row r="81" spans="1:5">
      <c r="A81" s="57" t="s">
        <v>48</v>
      </c>
      <c r="B81" s="58" t="s">
        <v>14</v>
      </c>
      <c r="C81" s="58">
        <v>3.8</v>
      </c>
      <c r="D81" s="58">
        <v>4.0999999999999996</v>
      </c>
      <c r="E81" s="58">
        <v>3.9</v>
      </c>
    </row>
    <row r="82" spans="1:5">
      <c r="A82" s="57" t="s">
        <v>48</v>
      </c>
      <c r="B82" s="58" t="s">
        <v>15</v>
      </c>
      <c r="C82" s="58">
        <v>3.6</v>
      </c>
      <c r="D82" s="58">
        <v>1.4</v>
      </c>
      <c r="E82" s="58">
        <v>3</v>
      </c>
    </row>
    <row r="83" spans="1:5">
      <c r="A83" s="57" t="s">
        <v>48</v>
      </c>
      <c r="B83" s="58" t="s">
        <v>16</v>
      </c>
      <c r="C83" s="58">
        <v>3.9</v>
      </c>
      <c r="D83" s="58">
        <v>15.3</v>
      </c>
      <c r="E83" s="58">
        <v>7.1</v>
      </c>
    </row>
    <row r="84" spans="1:5">
      <c r="A84" s="57" t="s">
        <v>48</v>
      </c>
      <c r="B84" s="58" t="s">
        <v>80</v>
      </c>
      <c r="C84" s="58">
        <v>2.6</v>
      </c>
      <c r="D84" s="58">
        <v>2.4</v>
      </c>
      <c r="E84" s="58">
        <v>2.5</v>
      </c>
    </row>
    <row r="85" spans="1:5">
      <c r="A85" s="57" t="s">
        <v>48</v>
      </c>
      <c r="B85" s="58" t="s">
        <v>81</v>
      </c>
      <c r="C85" s="58">
        <v>2.9</v>
      </c>
      <c r="D85" s="58">
        <v>1.1000000000000001</v>
      </c>
      <c r="E85" s="58">
        <v>2.2999999999999998</v>
      </c>
    </row>
    <row r="86" spans="1:5">
      <c r="A86" s="57" t="s">
        <v>48</v>
      </c>
      <c r="B86" s="58" t="s">
        <v>18</v>
      </c>
      <c r="C86" s="58">
        <v>2.2000000000000002</v>
      </c>
      <c r="D86" s="58">
        <v>1.5</v>
      </c>
      <c r="E86" s="58">
        <v>2.1</v>
      </c>
    </row>
    <row r="87" spans="1:5">
      <c r="A87" s="57" t="s">
        <v>48</v>
      </c>
      <c r="B87" s="58" t="s">
        <v>19</v>
      </c>
      <c r="C87" s="58">
        <v>5.2</v>
      </c>
      <c r="D87" s="58">
        <v>16.7</v>
      </c>
      <c r="E87" s="58">
        <v>8.5</v>
      </c>
    </row>
    <row r="88" spans="1:5">
      <c r="A88" s="57" t="s">
        <v>48</v>
      </c>
      <c r="B88" s="58" t="s">
        <v>20</v>
      </c>
      <c r="C88" s="58">
        <v>1.1000000000000001</v>
      </c>
      <c r="D88" s="58">
        <v>1</v>
      </c>
      <c r="E88" s="58">
        <v>1.1000000000000001</v>
      </c>
    </row>
    <row r="89" spans="1:5">
      <c r="A89" s="57" t="s">
        <v>48</v>
      </c>
      <c r="B89" s="58" t="s">
        <v>21</v>
      </c>
      <c r="C89" s="58">
        <v>3.8</v>
      </c>
      <c r="D89" s="58">
        <v>2.2000000000000002</v>
      </c>
      <c r="E89" s="58">
        <v>3.4</v>
      </c>
    </row>
    <row r="90" spans="1:5">
      <c r="A90" s="57" t="s">
        <v>48</v>
      </c>
      <c r="B90" s="58" t="s">
        <v>22</v>
      </c>
      <c r="C90" s="58">
        <v>3.4</v>
      </c>
      <c r="D90" s="58">
        <v>7.8</v>
      </c>
      <c r="E90" s="58">
        <v>5.5</v>
      </c>
    </row>
    <row r="91" spans="1:5">
      <c r="A91" s="57" t="s">
        <v>48</v>
      </c>
      <c r="B91" s="58" t="s">
        <v>82</v>
      </c>
      <c r="C91" s="58">
        <v>3.8</v>
      </c>
      <c r="D91" s="58">
        <v>9.6999999999999993</v>
      </c>
      <c r="E91" s="58">
        <v>6.1</v>
      </c>
    </row>
    <row r="92" spans="1:5">
      <c r="A92" s="57" t="s">
        <v>48</v>
      </c>
      <c r="B92" s="58" t="s">
        <v>24</v>
      </c>
      <c r="C92" s="58">
        <v>1.8</v>
      </c>
      <c r="D92" s="58">
        <v>0.5</v>
      </c>
      <c r="E92" s="58">
        <v>1.3</v>
      </c>
    </row>
    <row r="93" spans="1:5">
      <c r="A93" s="57" t="s">
        <v>48</v>
      </c>
      <c r="B93" s="58" t="s">
        <v>25</v>
      </c>
      <c r="C93" s="58">
        <v>3.1</v>
      </c>
      <c r="D93" s="58">
        <v>1.9</v>
      </c>
      <c r="E93" s="58">
        <v>2.7</v>
      </c>
    </row>
    <row r="94" spans="1:5">
      <c r="A94" s="57" t="s">
        <v>48</v>
      </c>
      <c r="B94" s="58" t="s">
        <v>26</v>
      </c>
      <c r="C94" s="58">
        <v>4.4000000000000004</v>
      </c>
      <c r="D94" s="58">
        <v>11.6</v>
      </c>
      <c r="E94" s="58">
        <v>7.2</v>
      </c>
    </row>
    <row r="95" spans="1:5">
      <c r="A95" s="57" t="s">
        <v>48</v>
      </c>
      <c r="B95" s="58" t="s">
        <v>27</v>
      </c>
      <c r="C95" s="58">
        <v>2.6</v>
      </c>
      <c r="D95" s="58">
        <v>8.8000000000000007</v>
      </c>
      <c r="E95" s="58">
        <v>5.0999999999999996</v>
      </c>
    </row>
    <row r="96" spans="1:5">
      <c r="A96" s="57" t="s">
        <v>48</v>
      </c>
      <c r="B96" s="58" t="s">
        <v>28</v>
      </c>
      <c r="C96" s="58">
        <v>7.7</v>
      </c>
      <c r="D96" s="58">
        <v>34.1</v>
      </c>
      <c r="E96" s="58">
        <v>11.9</v>
      </c>
    </row>
    <row r="97" spans="1:5">
      <c r="A97" s="57" t="s">
        <v>48</v>
      </c>
      <c r="B97" s="58" t="s">
        <v>29</v>
      </c>
      <c r="C97" s="58">
        <v>1.1000000000000001</v>
      </c>
      <c r="D97" s="58">
        <v>0.7</v>
      </c>
      <c r="E97" s="58">
        <v>1</v>
      </c>
    </row>
    <row r="98" spans="1:5">
      <c r="A98" s="57" t="s">
        <v>48</v>
      </c>
      <c r="B98" s="58" t="s">
        <v>30</v>
      </c>
      <c r="C98" s="58">
        <v>3.7</v>
      </c>
      <c r="D98" s="58">
        <v>2.7</v>
      </c>
      <c r="E98" s="58">
        <v>3.3</v>
      </c>
    </row>
    <row r="99" spans="1:5">
      <c r="A99" s="57" t="s">
        <v>48</v>
      </c>
      <c r="B99" s="58" t="s">
        <v>31</v>
      </c>
      <c r="C99" s="58">
        <v>5</v>
      </c>
      <c r="D99" s="58">
        <v>7.7</v>
      </c>
      <c r="E99" s="58">
        <v>6.1</v>
      </c>
    </row>
    <row r="100" spans="1:5">
      <c r="A100" s="57" t="s">
        <v>48</v>
      </c>
      <c r="B100" s="58" t="s">
        <v>32</v>
      </c>
      <c r="C100" s="58">
        <v>4.3</v>
      </c>
      <c r="D100" s="58">
        <v>8.1999999999999993</v>
      </c>
      <c r="E100" s="58">
        <v>6.2</v>
      </c>
    </row>
    <row r="101" spans="1:5">
      <c r="A101" s="57" t="s">
        <v>48</v>
      </c>
      <c r="B101" s="58" t="s">
        <v>33</v>
      </c>
      <c r="C101" s="58">
        <v>2.2000000000000002</v>
      </c>
      <c r="D101" s="58">
        <v>2.4</v>
      </c>
      <c r="E101" s="58">
        <v>2.2999999999999998</v>
      </c>
    </row>
    <row r="102" spans="1:5">
      <c r="A102" s="57" t="s">
        <v>48</v>
      </c>
      <c r="B102" s="58" t="s">
        <v>34</v>
      </c>
      <c r="C102" s="58">
        <v>7</v>
      </c>
      <c r="D102" s="58">
        <v>7.1</v>
      </c>
      <c r="E102" s="58">
        <v>7.1</v>
      </c>
    </row>
    <row r="103" spans="1:5">
      <c r="A103" s="57" t="s">
        <v>48</v>
      </c>
      <c r="B103" s="58" t="s">
        <v>35</v>
      </c>
      <c r="C103" s="58">
        <v>3.3</v>
      </c>
      <c r="D103" s="58">
        <v>2.7</v>
      </c>
      <c r="E103" s="58">
        <v>3.1</v>
      </c>
    </row>
    <row r="104" spans="1:5">
      <c r="A104" s="57" t="s">
        <v>48</v>
      </c>
      <c r="B104" s="58" t="s">
        <v>36</v>
      </c>
      <c r="C104" s="58">
        <v>3.9</v>
      </c>
      <c r="D104" s="58">
        <v>5.9</v>
      </c>
      <c r="E104" s="58">
        <v>4.5999999999999996</v>
      </c>
    </row>
    <row r="105" spans="1:5">
      <c r="A105" s="57" t="s">
        <v>48</v>
      </c>
      <c r="B105" s="58" t="s">
        <v>37</v>
      </c>
      <c r="C105" s="58">
        <v>4.9000000000000004</v>
      </c>
      <c r="D105" s="58">
        <v>6.9</v>
      </c>
      <c r="E105" s="58">
        <v>5.5</v>
      </c>
    </row>
    <row r="106" spans="1:5">
      <c r="A106" s="57" t="s">
        <v>48</v>
      </c>
      <c r="B106" s="58" t="s">
        <v>38</v>
      </c>
      <c r="C106" s="58">
        <v>4.3</v>
      </c>
      <c r="D106" s="58">
        <v>4</v>
      </c>
      <c r="E106" s="58">
        <v>4.2</v>
      </c>
    </row>
    <row r="107" spans="1:5">
      <c r="A107" s="57" t="s">
        <v>48</v>
      </c>
      <c r="B107" s="58" t="s">
        <v>39</v>
      </c>
      <c r="C107" s="58">
        <v>2.5</v>
      </c>
      <c r="D107" s="58">
        <v>2.1</v>
      </c>
      <c r="E107" s="58">
        <v>2.2999999999999998</v>
      </c>
    </row>
    <row r="108" spans="1:5">
      <c r="A108" s="57" t="s">
        <v>48</v>
      </c>
      <c r="B108" s="58" t="s">
        <v>83</v>
      </c>
      <c r="C108" s="58">
        <v>3.4</v>
      </c>
      <c r="D108" s="58">
        <v>3.8</v>
      </c>
      <c r="E108" s="58">
        <v>3.5</v>
      </c>
    </row>
    <row r="109" spans="1:5">
      <c r="A109" s="57" t="s">
        <v>48</v>
      </c>
      <c r="B109" s="58" t="s">
        <v>41</v>
      </c>
      <c r="C109" s="58">
        <v>4.5999999999999996</v>
      </c>
      <c r="D109" s="58">
        <v>5</v>
      </c>
      <c r="E109" s="58">
        <v>4.8</v>
      </c>
    </row>
    <row r="110" spans="1:5">
      <c r="A110" s="57" t="s">
        <v>48</v>
      </c>
      <c r="B110" s="58" t="s">
        <v>43</v>
      </c>
      <c r="C110" s="58">
        <v>1.7</v>
      </c>
      <c r="D110" s="58">
        <v>1.6</v>
      </c>
      <c r="E110" s="58">
        <v>1.7</v>
      </c>
    </row>
    <row r="111" spans="1:5">
      <c r="A111" s="57" t="s">
        <v>48</v>
      </c>
      <c r="B111" s="58" t="s">
        <v>84</v>
      </c>
      <c r="C111" s="58">
        <v>3.3</v>
      </c>
      <c r="D111" s="58">
        <v>2.5</v>
      </c>
      <c r="E111" s="58">
        <v>3.1</v>
      </c>
    </row>
    <row r="112" spans="1:5">
      <c r="A112" s="57" t="s">
        <v>48</v>
      </c>
      <c r="B112" s="58" t="s">
        <v>85</v>
      </c>
      <c r="C112" s="58">
        <v>4.5</v>
      </c>
      <c r="D112" s="58">
        <v>4.0999999999999996</v>
      </c>
      <c r="E112" s="58">
        <v>4.3</v>
      </c>
    </row>
    <row r="113" spans="1:5">
      <c r="A113" s="57" t="s">
        <v>48</v>
      </c>
      <c r="B113" s="58" t="s">
        <v>46</v>
      </c>
      <c r="C113" s="58">
        <v>2.2999999999999998</v>
      </c>
      <c r="D113" s="58">
        <v>3</v>
      </c>
      <c r="E113" s="58">
        <v>2.5</v>
      </c>
    </row>
  </sheetData>
  <sortState xmlns:xlrd2="http://schemas.microsoft.com/office/spreadsheetml/2017/richdata2" ref="A5:E39">
    <sortCondition ref="B5:B39"/>
  </sortState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3071-DC5F-48B2-A891-1BB0B955E92F}">
  <dimension ref="A1:G6"/>
  <sheetViews>
    <sheetView workbookViewId="0">
      <selection activeCell="F11" sqref="F11"/>
    </sheetView>
  </sheetViews>
  <sheetFormatPr defaultRowHeight="15"/>
  <cols>
    <col min="2" max="2" width="16.7109375" bestFit="1" customWidth="1"/>
    <col min="3" max="3" width="18.85546875" bestFit="1" customWidth="1"/>
    <col min="4" max="4" width="16.85546875" bestFit="1" customWidth="1"/>
    <col min="5" max="5" width="19" bestFit="1" customWidth="1"/>
    <col min="6" max="6" width="21.42578125" bestFit="1" customWidth="1"/>
    <col min="7" max="7" width="19.28515625" bestFit="1" customWidth="1"/>
  </cols>
  <sheetData>
    <row r="1" spans="1:7" ht="15" customHeight="1">
      <c r="A1" s="75" t="s">
        <v>67</v>
      </c>
      <c r="B1" s="75"/>
      <c r="C1" s="75"/>
      <c r="D1" s="75"/>
      <c r="E1" s="75"/>
      <c r="F1" s="75"/>
      <c r="G1" s="75"/>
    </row>
    <row r="2" spans="1:7">
      <c r="A2" s="75"/>
      <c r="B2" s="75"/>
      <c r="C2" s="75"/>
      <c r="D2" s="75"/>
      <c r="E2" s="75"/>
      <c r="F2" s="75"/>
      <c r="G2" s="75"/>
    </row>
    <row r="3" spans="1:7" ht="15.75">
      <c r="A3" s="13" t="s">
        <v>2</v>
      </c>
      <c r="B3" s="13" t="s">
        <v>88</v>
      </c>
      <c r="C3" s="13" t="s">
        <v>89</v>
      </c>
      <c r="D3" s="13" t="s">
        <v>90</v>
      </c>
      <c r="E3" s="13" t="s">
        <v>91</v>
      </c>
      <c r="F3" s="13" t="s">
        <v>92</v>
      </c>
      <c r="G3" s="13" t="s">
        <v>93</v>
      </c>
    </row>
    <row r="4" spans="1:7">
      <c r="A4" s="49" t="s">
        <v>10</v>
      </c>
      <c r="B4" s="49">
        <v>73.8</v>
      </c>
      <c r="C4" s="49">
        <v>31.7</v>
      </c>
      <c r="D4" s="49">
        <v>52.9</v>
      </c>
      <c r="E4" s="49">
        <v>4.4000000000000004</v>
      </c>
      <c r="F4" s="49">
        <v>3.3</v>
      </c>
      <c r="G4" s="49">
        <v>4.0999999999999996</v>
      </c>
    </row>
    <row r="5" spans="1:7">
      <c r="A5" s="49" t="s">
        <v>47</v>
      </c>
      <c r="B5" s="49">
        <v>76</v>
      </c>
      <c r="C5" s="49">
        <v>35.9</v>
      </c>
      <c r="D5" s="49">
        <v>56</v>
      </c>
      <c r="E5" s="49">
        <v>3.3</v>
      </c>
      <c r="F5" s="49">
        <v>2.9</v>
      </c>
      <c r="G5" s="49">
        <v>3.2</v>
      </c>
    </row>
    <row r="6" spans="1:7">
      <c r="A6" s="49" t="s">
        <v>48</v>
      </c>
      <c r="B6" s="49">
        <v>76.3</v>
      </c>
      <c r="C6" s="49">
        <v>40.299999999999997</v>
      </c>
      <c r="D6" s="49">
        <v>58.2</v>
      </c>
      <c r="E6" s="49">
        <v>3.2</v>
      </c>
      <c r="F6" s="49">
        <v>3.2</v>
      </c>
      <c r="G6" s="49">
        <v>3.2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Tanisha Sahani</cp:lastModifiedBy>
  <cp:revision/>
  <dcterms:created xsi:type="dcterms:W3CDTF">2026-09-26T09:55:25Z</dcterms:created>
  <dcterms:modified xsi:type="dcterms:W3CDTF">2026-10-04T06:05:58Z</dcterms:modified>
  <cp:category/>
  <cp:contentStatus/>
</cp:coreProperties>
</file>