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426" documentId="11_E60897F41BE170836B02CE998F75CCDC64E183C8" xr6:coauthVersionLast="47" xr6:coauthVersionMax="47" xr10:uidLastSave="{0E202BDD-C64C-4C83-B889-BF6257F3A326}"/>
  <bookViews>
    <workbookView xWindow="240" yWindow="105" windowWidth="14805" windowHeight="8010" firstSheet="6" activeTab="3" xr2:uid="{00000000-000D-0000-FFFF-FFFF00000000}"/>
  </bookViews>
  <sheets>
    <sheet name="Total_schools" sheetId="3" r:id="rId1"/>
    <sheet name="Total_Schl_enrollment" sheetId="5" r:id="rId2"/>
    <sheet name="School_Teachers" sheetId="6" r:id="rId3"/>
    <sheet name="Sch_GER_GPI_PTR" sheetId="7" r:id="rId4"/>
    <sheet name="All India Sch Calculation" sheetId="4" r:id="rId5"/>
    <sheet name="School_Infrastructure" sheetId="1" r:id="rId6"/>
    <sheet name="All India sch infrastr.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3" i="6" l="1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</calcChain>
</file>

<file path=xl/sharedStrings.xml><?xml version="1.0" encoding="utf-8"?>
<sst xmlns="http://schemas.openxmlformats.org/spreadsheetml/2006/main" count="1155" uniqueCount="108">
  <si>
    <t>Total Schools</t>
  </si>
  <si>
    <t>Year</t>
  </si>
  <si>
    <t>States</t>
  </si>
  <si>
    <t>Gov.  Schools</t>
  </si>
  <si>
    <t>Private Schools</t>
  </si>
  <si>
    <t>2021- 22</t>
  </si>
  <si>
    <t>Andaman &amp; Nicobar Island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</si>
  <si>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</si>
  <si>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</si>
  <si>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</si>
  <si>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</si>
  <si>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</si>
  <si>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</si>
  <si>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</si>
  <si>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</si>
  <si>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</si>
  <si>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</si>
  <si>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</si>
  <si>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</si>
  <si>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</si>
  <si>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</si>
  <si>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</si>
  <si>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</si>
  <si>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</si>
  <si>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</si>
  <si>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</si>
  <si>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</si>
  <si>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</si>
  <si>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</si>
  <si>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</si>
  <si>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</si>
  <si>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</si>
  <si>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</si>
  <si>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</si>
  <si>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</si>
  <si>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</si>
  <si>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</si>
  <si>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</si>
  <si>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</si>
  <si>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</si>
  <si>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</si>
  <si>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</si>
  <si>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2022- 23</t>
  </si>
  <si>
    <t xml:space="preserve">2023- 24  </t>
  </si>
  <si>
    <t>Government School Enrollment</t>
  </si>
  <si>
    <t>Private+Other School Enrollment</t>
  </si>
  <si>
    <t>States/UTs</t>
  </si>
  <si>
    <t>Male Gov. Students</t>
  </si>
  <si>
    <t>Female Gov. Students</t>
  </si>
  <si>
    <t>Total Gov. Students</t>
  </si>
  <si>
    <t>Male Priv. Students</t>
  </si>
  <si>
    <t>Female Priv. Students</t>
  </si>
  <si>
    <t>Total Priv. Students</t>
  </si>
  <si>
    <t>2021 - 22</t>
  </si>
  <si>
    <t>2022 - 23</t>
  </si>
  <si>
    <t>2023 - 24</t>
  </si>
  <si>
    <t>Government School Teachers</t>
  </si>
  <si>
    <t>Private+Other School Teachers</t>
  </si>
  <si>
    <t>Male Gov. Teachers</t>
  </si>
  <si>
    <t>Female Gov. Teachers</t>
  </si>
  <si>
    <t>Total Gov. Teachers</t>
  </si>
  <si>
    <t>Male Priv. Teachers</t>
  </si>
  <si>
    <t>Female Priv. Teachers</t>
  </si>
  <si>
    <t>Total Priv. Teachers</t>
  </si>
  <si>
    <t>Total GER &amp; GPI &amp; PTR</t>
  </si>
  <si>
    <t>Male GER</t>
  </si>
  <si>
    <t>Female GER</t>
  </si>
  <si>
    <t>Total GER</t>
  </si>
  <si>
    <t>GPI</t>
  </si>
  <si>
    <t>PTR</t>
  </si>
  <si>
    <t>2021-22</t>
  </si>
  <si>
    <t>Andaman and Nicobar Islands</t>
  </si>
  <si>
    <t>Dadra and Nagar Haveli and Daman and Diu</t>
  </si>
  <si>
    <t>Jammu and Kashmir</t>
  </si>
  <si>
    <t>2022-23</t>
  </si>
  <si>
    <t>2023-24</t>
  </si>
  <si>
    <t>All India Calculation</t>
  </si>
  <si>
    <t>Total_Enrollment</t>
  </si>
  <si>
    <t>Total Teachers</t>
  </si>
  <si>
    <t>Total Male GER</t>
  </si>
  <si>
    <t>Total Female GER</t>
  </si>
  <si>
    <t>Total GPI</t>
  </si>
  <si>
    <t>Total PTR</t>
  </si>
  <si>
    <t xml:space="preserve">INFRASTRUCTURE TABLE OF SCHOOLS </t>
  </si>
  <si>
    <t>State</t>
  </si>
  <si>
    <t>Total_Schools</t>
  </si>
  <si>
    <t>Electricity_Schools</t>
  </si>
  <si>
    <t>Electricity %</t>
  </si>
  <si>
    <t>Internet_Schools</t>
  </si>
  <si>
    <t>Internet %</t>
  </si>
  <si>
    <t>computer_schools</t>
  </si>
  <si>
    <t>computer %</t>
  </si>
  <si>
    <t>library_schools</t>
  </si>
  <si>
    <t>library %</t>
  </si>
  <si>
    <t>Drinking_water_schools</t>
  </si>
  <si>
    <t>drinking water %</t>
  </si>
  <si>
    <t>functional_girls_toilet_schools</t>
  </si>
  <si>
    <t>Girls toilet%</t>
  </si>
  <si>
    <t>Andaman &amp; Nicobar island</t>
  </si>
  <si>
    <t>Andra Pradesh</t>
  </si>
  <si>
    <t>Chattisgarh</t>
  </si>
  <si>
    <t>Dadra &amp; Nagar haveli &amp; daman &amp; diu</t>
  </si>
  <si>
    <t>% Computer</t>
  </si>
  <si>
    <t>% Internet</t>
  </si>
  <si>
    <t>% Library</t>
  </si>
  <si>
    <t>% Electricity</t>
  </si>
  <si>
    <t>% Functional girls toilet</t>
  </si>
  <si>
    <t>% Drinking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</si>
</sst>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i/>
      <u/>
      <sz val="16"/>
      <color rgb="FF002060"/>
      <name val="Book Antiqua"/>
    </font>
    <font>
      <sz val="11"/>
      <color rgb="FF000000"/>
      <name val="Calibri"/>
      <family val="2"/>
    </font>
    <font>
      <b/>
      <u/>
      <sz val="14"/>
      <color rgb="FF000000"/>
      <name val="Calibri"/>
      <scheme val="minor"/>
    </font>
    <font>
      <b/>
      <sz val="12"/>
      <color rgb="FF000000"/>
      <name val="Times New Roman"/>
    </font>
    <font>
      <sz val="11"/>
      <color rgb="FF212529"/>
      <name val="Calibri"/>
      <family val="2"/>
      <scheme val="minor"/>
    </font>
    <font>
      <b/>
      <u/>
      <sz val="14"/>
      <color rgb="FF000000"/>
      <name val="Cambria"/>
    </font>
    <font>
      <sz val="11"/>
      <color theme="1"/>
      <name val="Cambria"/>
    </font>
    <font>
      <b/>
      <sz val="12"/>
      <color theme="1"/>
      <name val="Times New Roman"/>
    </font>
    <font>
      <b/>
      <u/>
      <sz val="14"/>
      <color theme="1"/>
      <name val="Cambria"/>
      <scheme val="maj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u/>
      <sz val="14"/>
      <color rgb="FF000000"/>
      <name val="Cambria"/>
      <scheme val="major"/>
    </font>
    <font>
      <sz val="10"/>
      <name val="Arial"/>
      <family val="2"/>
    </font>
    <font>
      <b/>
      <sz val="12"/>
      <name val="Times New Roman"/>
      <family val="1"/>
    </font>
    <font>
      <b/>
      <i/>
      <sz val="12"/>
      <color rgb="FF000000"/>
      <name val="Times New Roman"/>
    </font>
    <font>
      <b/>
      <sz val="12"/>
      <name val="Times New Roman"/>
    </font>
    <font>
      <b/>
      <u/>
      <sz val="14"/>
      <color theme="1"/>
      <name val="Cambria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/>
  </cellStyleXfs>
  <cellXfs count="49">
    <xf numFmtId="0" fontId="0" fillId="0" borderId="0" xfId="0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3" fontId="2" fillId="0" borderId="3" xfId="0" applyNumberFormat="1" applyFont="1" applyFill="1" applyBorder="1" applyAlignment="1"/>
    <xf numFmtId="0" fontId="2" fillId="0" borderId="0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0" fillId="0" borderId="0" xfId="0" applyAlignment="1"/>
    <xf numFmtId="0" fontId="8" fillId="6" borderId="4" xfId="0" applyFont="1" applyFill="1" applyBorder="1"/>
    <xf numFmtId="0" fontId="10" fillId="0" borderId="4" xfId="0" applyFont="1" applyBorder="1"/>
    <xf numFmtId="0" fontId="11" fillId="0" borderId="4" xfId="0" applyFont="1" applyBorder="1"/>
    <xf numFmtId="0" fontId="0" fillId="0" borderId="4" xfId="0" applyBorder="1"/>
    <xf numFmtId="0" fontId="12" fillId="0" borderId="4" xfId="0" applyFont="1" applyBorder="1"/>
    <xf numFmtId="0" fontId="8" fillId="4" borderId="4" xfId="0" applyFont="1" applyFill="1" applyBorder="1" applyAlignment="1"/>
    <xf numFmtId="0" fontId="8" fillId="4" borderId="4" xfId="0" applyFont="1" applyFill="1" applyBorder="1"/>
    <xf numFmtId="0" fontId="8" fillId="4" borderId="4" xfId="0" applyFont="1" applyFill="1" applyBorder="1" applyAlignment="1">
      <alignment wrapText="1"/>
    </xf>
    <xf numFmtId="0" fontId="5" fillId="0" borderId="4" xfId="0" applyFont="1" applyBorder="1" applyAlignment="1">
      <alignment horizontal="left"/>
    </xf>
    <xf numFmtId="0" fontId="0" fillId="0" borderId="4" xfId="0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left" wrapText="1"/>
    </xf>
    <xf numFmtId="0" fontId="0" fillId="0" borderId="4" xfId="0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3" fontId="0" fillId="0" borderId="4" xfId="0" applyNumberFormat="1" applyBorder="1"/>
    <xf numFmtId="0" fontId="4" fillId="4" borderId="4" xfId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0" fontId="15" fillId="4" borderId="4" xfId="1" applyFont="1" applyFill="1" applyBorder="1"/>
    <xf numFmtId="3" fontId="0" fillId="0" borderId="0" xfId="0" applyNumberForma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2" fillId="0" borderId="9" xfId="0" applyFont="1" applyFill="1" applyBorder="1" applyAlignment="1"/>
    <xf numFmtId="0" fontId="16" fillId="4" borderId="4" xfId="1" applyFont="1" applyFill="1" applyBorder="1" applyAlignment="1">
      <alignment horizontal="center" vertical="center"/>
    </xf>
    <xf numFmtId="0" fontId="17" fillId="4" borderId="4" xfId="1" applyFont="1" applyFill="1" applyBorder="1" applyAlignment="1">
      <alignment horizontal="center" vertical="center"/>
    </xf>
    <xf numFmtId="0" fontId="4" fillId="4" borderId="2" xfId="0" applyFont="1" applyFill="1" applyBorder="1" applyAlignment="1"/>
    <xf numFmtId="0" fontId="4" fillId="4" borderId="3" xfId="0" applyFont="1" applyFill="1" applyBorder="1" applyAlignment="1"/>
    <xf numFmtId="3" fontId="0" fillId="0" borderId="2" xfId="0" applyNumberFormat="1" applyBorder="1"/>
    <xf numFmtId="0" fontId="8" fillId="4" borderId="11" xfId="0" applyFont="1" applyFill="1" applyBorder="1"/>
    <xf numFmtId="0" fontId="4" fillId="4" borderId="4" xfId="0" applyFont="1" applyFill="1" applyBorder="1" applyAlignment="1"/>
    <xf numFmtId="3" fontId="2" fillId="0" borderId="4" xfId="0" applyNumberFormat="1" applyFont="1" applyFill="1" applyBorder="1" applyAlignment="1"/>
    <xf numFmtId="0" fontId="18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F054E28-6EC5-4FC8-B209-F7695ED94D9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3B6A-136F-4138-9009-63E4720B1A02}">
  <dimension ref="A1:E113"/>
  <sheetViews>
    <sheetView workbookViewId="0">
      <selection activeCell="H84" sqref="H84"/>
    </sheetView>
  </sheetViews>
  <sheetFormatPr defaultRowHeight="15"/>
  <cols>
    <col min="1" max="1" width="9.7109375" bestFit="1" customWidth="1"/>
    <col min="2" max="2" width="36.5703125" bestFit="1" customWidth="1"/>
    <col min="3" max="3" width="14" bestFit="1" customWidth="1"/>
    <col min="4" max="4" width="16.28515625" bestFit="1" customWidth="1"/>
    <col min="5" max="5" width="13.42578125" bestFit="1" customWidth="1"/>
  </cols>
  <sheetData>
    <row r="1" spans="1:5">
      <c r="A1" s="40" t="s">
        <v>0</v>
      </c>
      <c r="B1" s="41"/>
      <c r="C1" s="41"/>
      <c r="D1" s="41"/>
      <c r="E1" s="41"/>
    </row>
    <row r="2" spans="1:5" ht="15.75" customHeight="1">
      <c r="A2" s="41"/>
      <c r="B2" s="41"/>
      <c r="C2" s="41"/>
      <c r="D2" s="41"/>
      <c r="E2" s="41"/>
    </row>
    <row r="3" spans="1:5" ht="17.25" customHeight="1">
      <c r="A3" s="13" t="s">
        <v>1</v>
      </c>
      <c r="B3" s="14" t="s">
        <v>2</v>
      </c>
      <c r="C3" s="15" t="s">
        <v>3</v>
      </c>
      <c r="D3" s="14" t="s">
        <v>4</v>
      </c>
      <c r="E3" s="14" t="s">
        <v>0</v>
      </c>
    </row>
    <row r="4" spans="1:5" s="7" customFormat="1">
      <c r="A4" s="16" t="s">
        <v>5</v>
      </c>
      <c r="B4" s="16" t="s">
        <v>6</v>
      </c>
      <c r="C4" s="17">
        <v>344</v>
      </c>
      <c r="D4" s="18">
        <v>72</v>
      </c>
      <c r="E4" s="18">
        <f t="shared" ref="E4:E39" si="0">SUM(C4:D4)</f>
        <v>416</v>
      </c>
    </row>
    <row r="5" spans="1:5">
      <c r="A5" s="19" t="s">
        <v>5</v>
      </c>
      <c r="B5" s="11" t="s">
        <v>7</v>
      </c>
      <c r="C5" s="20">
        <v>46679</v>
      </c>
      <c r="D5" s="21">
        <v>15269</v>
      </c>
      <c r="E5" s="21">
        <f t="shared" si="0"/>
        <v>61948</v>
      </c>
    </row>
    <row r="6" spans="1:5">
      <c r="A6" s="19" t="s">
        <v>5</v>
      </c>
      <c r="B6" s="11" t="s">
        <v>8</v>
      </c>
      <c r="C6" s="20">
        <v>3053</v>
      </c>
      <c r="D6" s="21">
        <v>550</v>
      </c>
      <c r="E6" s="21">
        <f t="shared" si="0"/>
        <v>3603</v>
      </c>
    </row>
    <row r="7" spans="1:5">
      <c r="A7" s="19" t="s">
        <v>5</v>
      </c>
      <c r="B7" s="11" t="s">
        <v>9</v>
      </c>
      <c r="C7" s="20">
        <v>49331</v>
      </c>
      <c r="D7" s="21">
        <v>11528</v>
      </c>
      <c r="E7" s="21">
        <f t="shared" si="0"/>
        <v>60859</v>
      </c>
    </row>
    <row r="8" spans="1:5">
      <c r="A8" s="19" t="s">
        <v>5</v>
      </c>
      <c r="B8" s="11" t="s">
        <v>10</v>
      </c>
      <c r="C8" s="20">
        <v>76300</v>
      </c>
      <c r="D8" s="21">
        <v>16865</v>
      </c>
      <c r="E8" s="21">
        <f t="shared" si="0"/>
        <v>93165</v>
      </c>
    </row>
    <row r="9" spans="1:5">
      <c r="A9" s="19" t="s">
        <v>5</v>
      </c>
      <c r="B9" s="11" t="s">
        <v>11</v>
      </c>
      <c r="C9" s="20">
        <v>130</v>
      </c>
      <c r="D9" s="21">
        <v>103</v>
      </c>
      <c r="E9" s="21">
        <f t="shared" si="0"/>
        <v>233</v>
      </c>
    </row>
    <row r="10" spans="1:5">
      <c r="A10" s="19" t="s">
        <v>5</v>
      </c>
      <c r="B10" s="11" t="s">
        <v>12</v>
      </c>
      <c r="C10" s="20">
        <v>49160</v>
      </c>
      <c r="D10" s="21">
        <v>7352</v>
      </c>
      <c r="E10" s="21">
        <f t="shared" si="0"/>
        <v>56512</v>
      </c>
    </row>
    <row r="11" spans="1:5">
      <c r="A11" s="19" t="s">
        <v>5</v>
      </c>
      <c r="B11" s="11" t="s">
        <v>13</v>
      </c>
      <c r="C11" s="20">
        <v>396</v>
      </c>
      <c r="D11" s="21">
        <v>64</v>
      </c>
      <c r="E11" s="21">
        <f t="shared" si="0"/>
        <v>460</v>
      </c>
    </row>
    <row r="12" spans="1:5">
      <c r="A12" s="19" t="s">
        <v>5</v>
      </c>
      <c r="B12" s="11" t="s">
        <v>14</v>
      </c>
      <c r="C12" s="20">
        <v>3009</v>
      </c>
      <c r="D12" s="21">
        <v>2610</v>
      </c>
      <c r="E12" s="21">
        <f t="shared" si="0"/>
        <v>5619</v>
      </c>
    </row>
    <row r="13" spans="1:5">
      <c r="A13" s="19" t="s">
        <v>5</v>
      </c>
      <c r="B13" s="11" t="s">
        <v>15</v>
      </c>
      <c r="C13" s="20">
        <v>1371</v>
      </c>
      <c r="D13" s="21">
        <v>139</v>
      </c>
      <c r="E13" s="21">
        <f t="shared" si="0"/>
        <v>1510</v>
      </c>
    </row>
    <row r="14" spans="1:5">
      <c r="A14" s="19" t="s">
        <v>5</v>
      </c>
      <c r="B14" s="11" t="s">
        <v>16</v>
      </c>
      <c r="C14" s="20">
        <v>40289</v>
      </c>
      <c r="D14" s="21">
        <v>13562</v>
      </c>
      <c r="E14" s="21">
        <f t="shared" si="0"/>
        <v>53851</v>
      </c>
    </row>
    <row r="15" spans="1:5">
      <c r="A15" s="19" t="s">
        <v>5</v>
      </c>
      <c r="B15" s="11" t="s">
        <v>17</v>
      </c>
      <c r="C15" s="20">
        <v>14578</v>
      </c>
      <c r="D15" s="21">
        <v>9148</v>
      </c>
      <c r="E15" s="21">
        <f t="shared" si="0"/>
        <v>23726</v>
      </c>
    </row>
    <row r="16" spans="1:5">
      <c r="A16" s="19" t="s">
        <v>5</v>
      </c>
      <c r="B16" s="11" t="s">
        <v>18</v>
      </c>
      <c r="C16" s="20">
        <v>15380</v>
      </c>
      <c r="D16" s="21">
        <v>2648</v>
      </c>
      <c r="E16" s="21">
        <f t="shared" si="0"/>
        <v>18028</v>
      </c>
    </row>
    <row r="17" spans="1:5">
      <c r="A17" s="19" t="s">
        <v>5</v>
      </c>
      <c r="B17" s="11" t="s">
        <v>19</v>
      </c>
      <c r="C17" s="20">
        <v>23174</v>
      </c>
      <c r="D17" s="21">
        <v>5631</v>
      </c>
      <c r="E17" s="21">
        <f t="shared" si="0"/>
        <v>28805</v>
      </c>
    </row>
    <row r="18" spans="1:5">
      <c r="A18" s="19" t="s">
        <v>5</v>
      </c>
      <c r="B18" s="11" t="s">
        <v>20</v>
      </c>
      <c r="C18" s="20">
        <v>37015</v>
      </c>
      <c r="D18" s="21">
        <v>7840</v>
      </c>
      <c r="E18" s="21">
        <f t="shared" si="0"/>
        <v>44855</v>
      </c>
    </row>
    <row r="19" spans="1:5">
      <c r="A19" s="19" t="s">
        <v>5</v>
      </c>
      <c r="B19" s="11" t="s">
        <v>21</v>
      </c>
      <c r="C19" s="20">
        <v>56789</v>
      </c>
      <c r="D19" s="21">
        <v>19661</v>
      </c>
      <c r="E19" s="21">
        <f t="shared" si="0"/>
        <v>76450</v>
      </c>
    </row>
    <row r="20" spans="1:5">
      <c r="A20" s="19" t="s">
        <v>5</v>
      </c>
      <c r="B20" s="11" t="s">
        <v>22</v>
      </c>
      <c r="C20" s="20">
        <v>12193</v>
      </c>
      <c r="D20" s="21">
        <v>4047</v>
      </c>
      <c r="E20" s="21">
        <f t="shared" si="0"/>
        <v>16240</v>
      </c>
    </row>
    <row r="21" spans="1:5">
      <c r="A21" s="19" t="s">
        <v>5</v>
      </c>
      <c r="B21" s="11" t="s">
        <v>23</v>
      </c>
      <c r="C21" s="20">
        <v>866</v>
      </c>
      <c r="D21" s="21">
        <v>112</v>
      </c>
      <c r="E21" s="21">
        <f t="shared" si="0"/>
        <v>978</v>
      </c>
    </row>
    <row r="22" spans="1:5">
      <c r="A22" s="19" t="s">
        <v>5</v>
      </c>
      <c r="B22" s="11" t="s">
        <v>24</v>
      </c>
      <c r="C22" s="20">
        <v>38</v>
      </c>
      <c r="D22" s="21">
        <v>0</v>
      </c>
      <c r="E22" s="21">
        <f t="shared" si="0"/>
        <v>38</v>
      </c>
    </row>
    <row r="23" spans="1:5">
      <c r="A23" s="19" t="s">
        <v>5</v>
      </c>
      <c r="B23" s="11" t="s">
        <v>25</v>
      </c>
      <c r="C23" s="20">
        <v>93435</v>
      </c>
      <c r="D23" s="21">
        <v>32147</v>
      </c>
      <c r="E23" s="21">
        <f t="shared" si="0"/>
        <v>125582</v>
      </c>
    </row>
    <row r="24" spans="1:5">
      <c r="A24" s="19" t="s">
        <v>5</v>
      </c>
      <c r="B24" s="11" t="s">
        <v>26</v>
      </c>
      <c r="C24" s="20">
        <v>89676</v>
      </c>
      <c r="D24" s="21">
        <v>19929</v>
      </c>
      <c r="E24" s="21">
        <f t="shared" si="0"/>
        <v>109605</v>
      </c>
    </row>
    <row r="25" spans="1:5">
      <c r="A25" s="19" t="s">
        <v>5</v>
      </c>
      <c r="B25" s="11" t="s">
        <v>27</v>
      </c>
      <c r="C25" s="20">
        <v>3472</v>
      </c>
      <c r="D25" s="21">
        <v>1145</v>
      </c>
      <c r="E25" s="21">
        <f t="shared" si="0"/>
        <v>4617</v>
      </c>
    </row>
    <row r="26" spans="1:5">
      <c r="A26" s="19" t="s">
        <v>5</v>
      </c>
      <c r="B26" s="11" t="s">
        <v>28</v>
      </c>
      <c r="C26" s="20">
        <v>11955</v>
      </c>
      <c r="D26" s="21">
        <v>2645</v>
      </c>
      <c r="E26" s="21">
        <f t="shared" si="0"/>
        <v>14600</v>
      </c>
    </row>
    <row r="27" spans="1:5">
      <c r="A27" s="19" t="s">
        <v>5</v>
      </c>
      <c r="B27" s="11" t="s">
        <v>29</v>
      </c>
      <c r="C27" s="20">
        <v>2793</v>
      </c>
      <c r="D27" s="21">
        <v>1118</v>
      </c>
      <c r="E27" s="21">
        <f t="shared" si="0"/>
        <v>3911</v>
      </c>
    </row>
    <row r="28" spans="1:5">
      <c r="A28" s="19" t="s">
        <v>5</v>
      </c>
      <c r="B28" s="11" t="s">
        <v>30</v>
      </c>
      <c r="C28" s="20">
        <v>1960</v>
      </c>
      <c r="D28" s="21">
        <v>758</v>
      </c>
      <c r="E28" s="21">
        <f t="shared" si="0"/>
        <v>2718</v>
      </c>
    </row>
    <row r="29" spans="1:5">
      <c r="A29" s="19" t="s">
        <v>5</v>
      </c>
      <c r="B29" s="11" t="s">
        <v>31</v>
      </c>
      <c r="C29" s="20">
        <v>54879</v>
      </c>
      <c r="D29" s="21">
        <v>7412</v>
      </c>
      <c r="E29" s="21">
        <f t="shared" si="0"/>
        <v>62291</v>
      </c>
    </row>
    <row r="30" spans="1:5">
      <c r="A30" s="19" t="s">
        <v>5</v>
      </c>
      <c r="B30" s="11" t="s">
        <v>32</v>
      </c>
      <c r="C30" s="20">
        <v>455</v>
      </c>
      <c r="D30" s="21">
        <v>281</v>
      </c>
      <c r="E30" s="21">
        <f t="shared" si="0"/>
        <v>736</v>
      </c>
    </row>
    <row r="31" spans="1:5">
      <c r="A31" s="19" t="s">
        <v>5</v>
      </c>
      <c r="B31" s="11" t="s">
        <v>33</v>
      </c>
      <c r="C31" s="20">
        <v>19709</v>
      </c>
      <c r="D31" s="21">
        <v>7992</v>
      </c>
      <c r="E31" s="21">
        <f t="shared" si="0"/>
        <v>27701</v>
      </c>
    </row>
    <row r="32" spans="1:5">
      <c r="A32" s="19" t="s">
        <v>5</v>
      </c>
      <c r="B32" s="11" t="s">
        <v>34</v>
      </c>
      <c r="C32" s="20">
        <v>68948</v>
      </c>
      <c r="D32" s="21">
        <v>37425</v>
      </c>
      <c r="E32" s="21">
        <f t="shared" si="0"/>
        <v>106373</v>
      </c>
    </row>
    <row r="33" spans="1:5">
      <c r="A33" s="19" t="s">
        <v>5</v>
      </c>
      <c r="B33" s="11" t="s">
        <v>35</v>
      </c>
      <c r="C33" s="20">
        <v>883</v>
      </c>
      <c r="D33" s="21">
        <v>376</v>
      </c>
      <c r="E33" s="21">
        <f t="shared" si="0"/>
        <v>1259</v>
      </c>
    </row>
    <row r="34" spans="1:5">
      <c r="A34" s="19" t="s">
        <v>5</v>
      </c>
      <c r="B34" s="11" t="s">
        <v>36</v>
      </c>
      <c r="C34" s="20">
        <v>45959</v>
      </c>
      <c r="D34" s="21">
        <v>12842</v>
      </c>
      <c r="E34" s="21">
        <f t="shared" si="0"/>
        <v>58801</v>
      </c>
    </row>
    <row r="35" spans="1:5">
      <c r="A35" s="19" t="s">
        <v>5</v>
      </c>
      <c r="B35" s="11" t="s">
        <v>37</v>
      </c>
      <c r="C35" s="20">
        <v>30723</v>
      </c>
      <c r="D35" s="21">
        <v>12360</v>
      </c>
      <c r="E35" s="21">
        <f t="shared" si="0"/>
        <v>43083</v>
      </c>
    </row>
    <row r="36" spans="1:5">
      <c r="A36" s="19" t="s">
        <v>5</v>
      </c>
      <c r="B36" s="11" t="s">
        <v>38</v>
      </c>
      <c r="C36" s="20">
        <v>4305</v>
      </c>
      <c r="D36" s="21">
        <v>624</v>
      </c>
      <c r="E36" s="21">
        <f t="shared" si="0"/>
        <v>4929</v>
      </c>
    </row>
    <row r="37" spans="1:5">
      <c r="A37" s="19" t="s">
        <v>5</v>
      </c>
      <c r="B37" s="11" t="s">
        <v>39</v>
      </c>
      <c r="C37" s="20">
        <v>17092</v>
      </c>
      <c r="D37" s="21">
        <v>5723</v>
      </c>
      <c r="E37" s="21">
        <f>SUM(C37:D37)</f>
        <v>22815</v>
      </c>
    </row>
    <row r="38" spans="1:5">
      <c r="A38" s="19" t="s">
        <v>5</v>
      </c>
      <c r="B38" s="11" t="s">
        <v>40</v>
      </c>
      <c r="C38" s="20">
        <v>145137</v>
      </c>
      <c r="D38" s="21">
        <v>112917</v>
      </c>
      <c r="E38" s="21">
        <f>SUM(C38:D38)</f>
        <v>258054</v>
      </c>
    </row>
    <row r="39" spans="1:5">
      <c r="A39" s="19" t="s">
        <v>5</v>
      </c>
      <c r="B39" s="11" t="s">
        <v>41</v>
      </c>
      <c r="C39" s="20">
        <v>83390</v>
      </c>
      <c r="D39" s="21">
        <v>11354</v>
      </c>
      <c r="E39" s="21">
        <f t="shared" si="0"/>
        <v>94744</v>
      </c>
    </row>
    <row r="41" spans="1:5" ht="15" customHeight="1">
      <c r="A41" s="11" t="s">
        <v>42</v>
      </c>
      <c r="B41" s="19" t="s">
        <v>6</v>
      </c>
      <c r="C41" s="20">
        <v>344</v>
      </c>
      <c r="D41" s="21">
        <v>70</v>
      </c>
      <c r="E41" s="21">
        <f t="shared" ref="E41:E76" si="1">SUM(C41:D41)</f>
        <v>414</v>
      </c>
    </row>
    <row r="42" spans="1:5">
      <c r="A42" s="11" t="s">
        <v>42</v>
      </c>
      <c r="B42" s="11" t="s">
        <v>7</v>
      </c>
      <c r="C42" s="20">
        <v>46369</v>
      </c>
      <c r="D42" s="21">
        <v>15311</v>
      </c>
      <c r="E42" s="21">
        <f t="shared" si="1"/>
        <v>61680</v>
      </c>
    </row>
    <row r="43" spans="1:5">
      <c r="A43" s="11" t="s">
        <v>42</v>
      </c>
      <c r="B43" s="11" t="s">
        <v>8</v>
      </c>
      <c r="C43" s="20">
        <v>2993</v>
      </c>
      <c r="D43" s="21">
        <v>550</v>
      </c>
      <c r="E43" s="21">
        <f t="shared" si="1"/>
        <v>3543</v>
      </c>
    </row>
    <row r="44" spans="1:5">
      <c r="A44" s="11" t="s">
        <v>42</v>
      </c>
      <c r="B44" s="11" t="s">
        <v>9</v>
      </c>
      <c r="C44" s="20">
        <v>48311</v>
      </c>
      <c r="D44" s="21">
        <v>10565</v>
      </c>
      <c r="E44" s="21">
        <f t="shared" si="1"/>
        <v>58876</v>
      </c>
    </row>
    <row r="45" spans="1:5">
      <c r="A45" s="11" t="s">
        <v>42</v>
      </c>
      <c r="B45" s="11" t="s">
        <v>10</v>
      </c>
      <c r="C45" s="20">
        <v>76274</v>
      </c>
      <c r="D45" s="21">
        <v>15173</v>
      </c>
      <c r="E45" s="21">
        <f t="shared" si="1"/>
        <v>91447</v>
      </c>
    </row>
    <row r="46" spans="1:5">
      <c r="A46" s="11" t="s">
        <v>42</v>
      </c>
      <c r="B46" s="11" t="s">
        <v>11</v>
      </c>
      <c r="C46" s="20">
        <v>126</v>
      </c>
      <c r="D46" s="21">
        <v>104</v>
      </c>
      <c r="E46" s="21">
        <f t="shared" si="1"/>
        <v>230</v>
      </c>
    </row>
    <row r="47" spans="1:5">
      <c r="A47" s="11" t="s">
        <v>42</v>
      </c>
      <c r="B47" s="11" t="s">
        <v>12</v>
      </c>
      <c r="C47" s="20">
        <v>49143</v>
      </c>
      <c r="D47" s="21">
        <v>7190</v>
      </c>
      <c r="E47" s="21">
        <f t="shared" si="1"/>
        <v>56333</v>
      </c>
    </row>
    <row r="48" spans="1:5">
      <c r="A48" s="11" t="s">
        <v>42</v>
      </c>
      <c r="B48" s="11" t="s">
        <v>13</v>
      </c>
      <c r="C48" s="20">
        <v>395</v>
      </c>
      <c r="D48" s="21">
        <v>64</v>
      </c>
      <c r="E48" s="21">
        <f t="shared" si="1"/>
        <v>459</v>
      </c>
    </row>
    <row r="49" spans="1:5">
      <c r="A49" s="11" t="s">
        <v>42</v>
      </c>
      <c r="B49" s="11" t="s">
        <v>14</v>
      </c>
      <c r="C49" s="20">
        <v>2918</v>
      </c>
      <c r="D49" s="21">
        <v>2570</v>
      </c>
      <c r="E49" s="21">
        <f t="shared" si="1"/>
        <v>5488</v>
      </c>
    </row>
    <row r="50" spans="1:5">
      <c r="A50" s="11" t="s">
        <v>42</v>
      </c>
      <c r="B50" s="11" t="s">
        <v>15</v>
      </c>
      <c r="C50" s="20">
        <v>1364</v>
      </c>
      <c r="D50" s="21">
        <v>140</v>
      </c>
      <c r="E50" s="21">
        <f t="shared" si="1"/>
        <v>1504</v>
      </c>
    </row>
    <row r="51" spans="1:5">
      <c r="A51" s="11" t="s">
        <v>42</v>
      </c>
      <c r="B51" s="11" t="s">
        <v>16</v>
      </c>
      <c r="C51" s="20">
        <v>40213</v>
      </c>
      <c r="D51" s="21">
        <v>13390</v>
      </c>
      <c r="E51" s="21">
        <f t="shared" si="1"/>
        <v>53603</v>
      </c>
    </row>
    <row r="52" spans="1:5">
      <c r="A52" s="11" t="s">
        <v>42</v>
      </c>
      <c r="B52" s="11" t="s">
        <v>17</v>
      </c>
      <c r="C52" s="20">
        <v>14449</v>
      </c>
      <c r="D52" s="21">
        <v>9112</v>
      </c>
      <c r="E52" s="21">
        <f t="shared" si="1"/>
        <v>23561</v>
      </c>
    </row>
    <row r="53" spans="1:5">
      <c r="A53" s="11" t="s">
        <v>42</v>
      </c>
      <c r="B53" s="11" t="s">
        <v>18</v>
      </c>
      <c r="C53" s="20">
        <v>15447</v>
      </c>
      <c r="D53" s="21">
        <v>2615</v>
      </c>
      <c r="E53" s="21">
        <f t="shared" si="1"/>
        <v>18062</v>
      </c>
    </row>
    <row r="54" spans="1:5">
      <c r="A54" s="11" t="s">
        <v>42</v>
      </c>
      <c r="B54" s="11" t="s">
        <v>19</v>
      </c>
      <c r="C54" s="20">
        <v>18786</v>
      </c>
      <c r="D54" s="21">
        <v>5492</v>
      </c>
      <c r="E54" s="21">
        <f t="shared" si="1"/>
        <v>24278</v>
      </c>
    </row>
    <row r="55" spans="1:5">
      <c r="A55" s="11" t="s">
        <v>42</v>
      </c>
      <c r="B55" s="11" t="s">
        <v>20</v>
      </c>
      <c r="C55" s="20">
        <v>36913</v>
      </c>
      <c r="D55" s="21">
        <v>7683</v>
      </c>
      <c r="E55" s="21">
        <f t="shared" si="1"/>
        <v>44596</v>
      </c>
    </row>
    <row r="56" spans="1:5">
      <c r="A56" s="11" t="s">
        <v>42</v>
      </c>
      <c r="B56" s="11" t="s">
        <v>21</v>
      </c>
      <c r="C56" s="20">
        <v>56549</v>
      </c>
      <c r="D56" s="21">
        <v>19541</v>
      </c>
      <c r="E56" s="21">
        <f t="shared" si="1"/>
        <v>76090</v>
      </c>
    </row>
    <row r="57" spans="1:5">
      <c r="A57" s="11" t="s">
        <v>42</v>
      </c>
      <c r="B57" s="11" t="s">
        <v>22</v>
      </c>
      <c r="C57" s="20">
        <v>11989</v>
      </c>
      <c r="D57" s="21">
        <v>3945</v>
      </c>
      <c r="E57" s="21">
        <f t="shared" si="1"/>
        <v>15934</v>
      </c>
    </row>
    <row r="58" spans="1:5">
      <c r="A58" s="11" t="s">
        <v>42</v>
      </c>
      <c r="B58" s="11" t="s">
        <v>23</v>
      </c>
      <c r="C58" s="20">
        <v>868</v>
      </c>
      <c r="D58" s="21">
        <v>111</v>
      </c>
      <c r="E58" s="21">
        <f t="shared" si="1"/>
        <v>979</v>
      </c>
    </row>
    <row r="59" spans="1:5">
      <c r="A59" s="11" t="s">
        <v>42</v>
      </c>
      <c r="B59" s="11" t="s">
        <v>24</v>
      </c>
      <c r="C59" s="20">
        <v>37</v>
      </c>
      <c r="D59" s="21">
        <v>0</v>
      </c>
      <c r="E59" s="21">
        <f t="shared" si="1"/>
        <v>37</v>
      </c>
    </row>
    <row r="60" spans="1:5">
      <c r="A60" s="11" t="s">
        <v>42</v>
      </c>
      <c r="B60" s="11" t="s">
        <v>25</v>
      </c>
      <c r="C60" s="20">
        <v>93356</v>
      </c>
      <c r="D60" s="21">
        <v>29581</v>
      </c>
      <c r="E60" s="21">
        <f t="shared" si="1"/>
        <v>122937</v>
      </c>
    </row>
    <row r="61" spans="1:5">
      <c r="A61" s="11" t="s">
        <v>42</v>
      </c>
      <c r="B61" s="11" t="s">
        <v>26</v>
      </c>
      <c r="C61" s="20">
        <v>89395</v>
      </c>
      <c r="D61" s="21">
        <v>19056</v>
      </c>
      <c r="E61" s="21">
        <f t="shared" si="1"/>
        <v>108451</v>
      </c>
    </row>
    <row r="62" spans="1:5">
      <c r="A62" s="11" t="s">
        <v>42</v>
      </c>
      <c r="B62" s="11" t="s">
        <v>27</v>
      </c>
      <c r="C62" s="20">
        <v>3505</v>
      </c>
      <c r="D62" s="21">
        <v>1122</v>
      </c>
      <c r="E62" s="21">
        <f t="shared" si="1"/>
        <v>4627</v>
      </c>
    </row>
    <row r="63" spans="1:5">
      <c r="A63" s="11" t="s">
        <v>42</v>
      </c>
      <c r="B63" s="11" t="s">
        <v>28</v>
      </c>
      <c r="C63" s="20">
        <v>11951</v>
      </c>
      <c r="D63" s="21">
        <v>2637</v>
      </c>
      <c r="E63" s="21">
        <f t="shared" si="1"/>
        <v>14588</v>
      </c>
    </row>
    <row r="64" spans="1:5">
      <c r="A64" s="11" t="s">
        <v>42</v>
      </c>
      <c r="B64" s="11" t="s">
        <v>29</v>
      </c>
      <c r="C64" s="20">
        <v>2797</v>
      </c>
      <c r="D64" s="21">
        <v>1094</v>
      </c>
      <c r="E64" s="21">
        <f t="shared" si="1"/>
        <v>3891</v>
      </c>
    </row>
    <row r="65" spans="1:5">
      <c r="A65" s="11" t="s">
        <v>42</v>
      </c>
      <c r="B65" s="11" t="s">
        <v>30</v>
      </c>
      <c r="C65" s="20">
        <v>1954</v>
      </c>
      <c r="D65" s="21">
        <v>763</v>
      </c>
      <c r="E65" s="21">
        <f t="shared" si="1"/>
        <v>2717</v>
      </c>
    </row>
    <row r="66" spans="1:5">
      <c r="A66" s="11" t="s">
        <v>42</v>
      </c>
      <c r="B66" s="11" t="s">
        <v>31</v>
      </c>
      <c r="C66" s="20">
        <v>54687</v>
      </c>
      <c r="D66" s="21">
        <v>7204</v>
      </c>
      <c r="E66" s="21">
        <f t="shared" si="1"/>
        <v>61891</v>
      </c>
    </row>
    <row r="67" spans="1:5">
      <c r="A67" s="11" t="s">
        <v>42</v>
      </c>
      <c r="B67" s="11" t="s">
        <v>32</v>
      </c>
      <c r="C67" s="20">
        <v>455</v>
      </c>
      <c r="D67" s="21">
        <v>274</v>
      </c>
      <c r="E67" s="21">
        <f t="shared" si="1"/>
        <v>729</v>
      </c>
    </row>
    <row r="68" spans="1:5">
      <c r="A68" s="11" t="s">
        <v>42</v>
      </c>
      <c r="B68" s="11" t="s">
        <v>33</v>
      </c>
      <c r="C68" s="20">
        <v>19692</v>
      </c>
      <c r="D68" s="21">
        <v>7900</v>
      </c>
      <c r="E68" s="21">
        <f t="shared" si="1"/>
        <v>27592</v>
      </c>
    </row>
    <row r="69" spans="1:5">
      <c r="A69" s="11" t="s">
        <v>42</v>
      </c>
      <c r="B69" s="11" t="s">
        <v>34</v>
      </c>
      <c r="C69" s="20">
        <v>69538</v>
      </c>
      <c r="D69" s="21">
        <v>37132</v>
      </c>
      <c r="E69" s="21">
        <f t="shared" si="1"/>
        <v>106670</v>
      </c>
    </row>
    <row r="70" spans="1:5">
      <c r="A70" s="11" t="s">
        <v>42</v>
      </c>
      <c r="B70" s="11" t="s">
        <v>35</v>
      </c>
      <c r="C70" s="20">
        <v>882</v>
      </c>
      <c r="D70" s="21">
        <v>368</v>
      </c>
      <c r="E70" s="21">
        <f t="shared" si="1"/>
        <v>1250</v>
      </c>
    </row>
    <row r="71" spans="1:5">
      <c r="A71" s="11" t="s">
        <v>42</v>
      </c>
      <c r="B71" s="11" t="s">
        <v>36</v>
      </c>
      <c r="C71" s="20">
        <v>45937</v>
      </c>
      <c r="D71" s="21">
        <v>12213</v>
      </c>
      <c r="E71" s="21">
        <f t="shared" si="1"/>
        <v>58150</v>
      </c>
    </row>
    <row r="72" spans="1:5">
      <c r="A72" s="11" t="s">
        <v>42</v>
      </c>
      <c r="B72" s="11" t="s">
        <v>37</v>
      </c>
      <c r="C72" s="20">
        <v>30667</v>
      </c>
      <c r="D72" s="21">
        <v>11809</v>
      </c>
      <c r="E72" s="21">
        <f t="shared" si="1"/>
        <v>42476</v>
      </c>
    </row>
    <row r="73" spans="1:5">
      <c r="A73" s="11" t="s">
        <v>42</v>
      </c>
      <c r="B73" s="11" t="s">
        <v>38</v>
      </c>
      <c r="C73" s="20">
        <v>4288</v>
      </c>
      <c r="D73" s="21">
        <v>624</v>
      </c>
      <c r="E73" s="21">
        <f t="shared" si="1"/>
        <v>4912</v>
      </c>
    </row>
    <row r="74" spans="1:5">
      <c r="A74" s="11" t="s">
        <v>42</v>
      </c>
      <c r="B74" s="11" t="s">
        <v>39</v>
      </c>
      <c r="C74" s="20">
        <v>16994</v>
      </c>
      <c r="D74" s="21">
        <v>5624</v>
      </c>
      <c r="E74" s="21">
        <f>SUM(C74:D74)</f>
        <v>22618</v>
      </c>
    </row>
    <row r="75" spans="1:5">
      <c r="A75" s="11" t="s">
        <v>42</v>
      </c>
      <c r="B75" s="11" t="s">
        <v>40</v>
      </c>
      <c r="C75" s="20">
        <v>145252</v>
      </c>
      <c r="D75" s="21">
        <v>105842</v>
      </c>
      <c r="E75" s="21">
        <f t="shared" ref="E75" si="2">SUM(C75:D75)</f>
        <v>251094</v>
      </c>
    </row>
    <row r="76" spans="1:5">
      <c r="A76" s="11" t="s">
        <v>42</v>
      </c>
      <c r="B76" s="11" t="s">
        <v>41</v>
      </c>
      <c r="C76" s="20">
        <v>82658</v>
      </c>
      <c r="D76" s="21">
        <v>11744</v>
      </c>
      <c r="E76" s="21">
        <f t="shared" si="1"/>
        <v>94402</v>
      </c>
    </row>
    <row r="78" spans="1:5" ht="14.25" customHeight="1">
      <c r="A78" s="11" t="s">
        <v>43</v>
      </c>
      <c r="B78" s="19" t="s">
        <v>6</v>
      </c>
      <c r="C78" s="20">
        <v>337</v>
      </c>
      <c r="D78" s="21">
        <v>70</v>
      </c>
      <c r="E78" s="21">
        <f t="shared" ref="E78:E113" si="3">SUM(C78:D78)</f>
        <v>407</v>
      </c>
    </row>
    <row r="79" spans="1:5">
      <c r="A79" s="11" t="s">
        <v>43</v>
      </c>
      <c r="B79" s="11" t="s">
        <v>7</v>
      </c>
      <c r="C79" s="20">
        <v>45941</v>
      </c>
      <c r="D79" s="21">
        <v>15382</v>
      </c>
      <c r="E79" s="21">
        <f t="shared" si="3"/>
        <v>61323</v>
      </c>
    </row>
    <row r="80" spans="1:5">
      <c r="A80" s="11" t="s">
        <v>43</v>
      </c>
      <c r="B80" s="11" t="s">
        <v>8</v>
      </c>
      <c r="C80" s="20">
        <v>2882</v>
      </c>
      <c r="D80" s="21">
        <v>571</v>
      </c>
      <c r="E80" s="21">
        <f t="shared" si="3"/>
        <v>3453</v>
      </c>
    </row>
    <row r="81" spans="1:5">
      <c r="A81" s="11" t="s">
        <v>43</v>
      </c>
      <c r="B81" s="11" t="s">
        <v>9</v>
      </c>
      <c r="C81" s="20">
        <v>47190</v>
      </c>
      <c r="D81" s="21">
        <v>9355</v>
      </c>
      <c r="E81" s="21">
        <f t="shared" si="3"/>
        <v>56545</v>
      </c>
    </row>
    <row r="82" spans="1:5">
      <c r="A82" s="11" t="s">
        <v>43</v>
      </c>
      <c r="B82" s="11" t="s">
        <v>10</v>
      </c>
      <c r="C82" s="20">
        <v>78755</v>
      </c>
      <c r="D82" s="21">
        <v>15843</v>
      </c>
      <c r="E82" s="21">
        <f t="shared" si="3"/>
        <v>94598</v>
      </c>
    </row>
    <row r="83" spans="1:5">
      <c r="A83" s="11" t="s">
        <v>43</v>
      </c>
      <c r="B83" s="11" t="s">
        <v>11</v>
      </c>
      <c r="C83" s="20">
        <v>121</v>
      </c>
      <c r="D83" s="21">
        <v>104</v>
      </c>
      <c r="E83" s="21">
        <f t="shared" si="3"/>
        <v>225</v>
      </c>
    </row>
    <row r="84" spans="1:5">
      <c r="A84" s="11" t="s">
        <v>43</v>
      </c>
      <c r="B84" s="11" t="s">
        <v>12</v>
      </c>
      <c r="C84" s="20">
        <v>49153</v>
      </c>
      <c r="D84" s="21">
        <v>7398</v>
      </c>
      <c r="E84" s="21">
        <f t="shared" si="3"/>
        <v>56551</v>
      </c>
    </row>
    <row r="85" spans="1:5">
      <c r="A85" s="11" t="s">
        <v>43</v>
      </c>
      <c r="B85" s="11" t="s">
        <v>13</v>
      </c>
      <c r="C85" s="20">
        <v>363</v>
      </c>
      <c r="D85" s="21">
        <v>64</v>
      </c>
      <c r="E85" s="21">
        <f t="shared" si="3"/>
        <v>427</v>
      </c>
    </row>
    <row r="86" spans="1:5">
      <c r="A86" s="11" t="s">
        <v>43</v>
      </c>
      <c r="B86" s="11" t="s">
        <v>14</v>
      </c>
      <c r="C86" s="20">
        <v>2884</v>
      </c>
      <c r="D86" s="21">
        <v>2565</v>
      </c>
      <c r="E86" s="21">
        <f t="shared" si="3"/>
        <v>5449</v>
      </c>
    </row>
    <row r="87" spans="1:5">
      <c r="A87" s="11" t="s">
        <v>43</v>
      </c>
      <c r="B87" s="11" t="s">
        <v>15</v>
      </c>
      <c r="C87" s="20">
        <v>1339</v>
      </c>
      <c r="D87" s="21">
        <v>141</v>
      </c>
      <c r="E87" s="21">
        <f t="shared" si="3"/>
        <v>1480</v>
      </c>
    </row>
    <row r="88" spans="1:5">
      <c r="A88" s="11" t="s">
        <v>43</v>
      </c>
      <c r="B88" s="11" t="s">
        <v>16</v>
      </c>
      <c r="C88" s="20">
        <v>40052</v>
      </c>
      <c r="D88" s="21">
        <v>13494</v>
      </c>
      <c r="E88" s="21">
        <f t="shared" si="3"/>
        <v>53546</v>
      </c>
    </row>
    <row r="89" spans="1:5">
      <c r="A89" s="11" t="s">
        <v>43</v>
      </c>
      <c r="B89" s="11" t="s">
        <v>17</v>
      </c>
      <c r="C89" s="20">
        <v>14323</v>
      </c>
      <c r="D89" s="21">
        <v>9138</v>
      </c>
      <c r="E89" s="21">
        <f t="shared" si="3"/>
        <v>23461</v>
      </c>
    </row>
    <row r="90" spans="1:5">
      <c r="A90" s="11" t="s">
        <v>43</v>
      </c>
      <c r="B90" s="11" t="s">
        <v>18</v>
      </c>
      <c r="C90" s="20">
        <v>15179</v>
      </c>
      <c r="D90" s="21">
        <v>2609</v>
      </c>
      <c r="E90" s="21">
        <f t="shared" si="3"/>
        <v>17788</v>
      </c>
    </row>
    <row r="91" spans="1:5">
      <c r="A91" s="11" t="s">
        <v>43</v>
      </c>
      <c r="B91" s="11" t="s">
        <v>19</v>
      </c>
      <c r="C91" s="20">
        <v>18731</v>
      </c>
      <c r="D91" s="21">
        <v>5510</v>
      </c>
      <c r="E91" s="21">
        <f t="shared" si="3"/>
        <v>24241</v>
      </c>
    </row>
    <row r="92" spans="1:5">
      <c r="A92" s="11" t="s">
        <v>43</v>
      </c>
      <c r="B92" s="11" t="s">
        <v>20</v>
      </c>
      <c r="C92" s="20">
        <v>36874</v>
      </c>
      <c r="D92" s="21">
        <v>7534</v>
      </c>
      <c r="E92" s="21">
        <f t="shared" si="3"/>
        <v>44408</v>
      </c>
    </row>
    <row r="93" spans="1:5">
      <c r="A93" s="11" t="s">
        <v>43</v>
      </c>
      <c r="B93" s="11" t="s">
        <v>21</v>
      </c>
      <c r="C93" s="20">
        <v>56236</v>
      </c>
      <c r="D93" s="21">
        <v>19550</v>
      </c>
      <c r="E93" s="21">
        <f t="shared" si="3"/>
        <v>75786</v>
      </c>
    </row>
    <row r="94" spans="1:5">
      <c r="A94" s="11" t="s">
        <v>43</v>
      </c>
      <c r="B94" s="11" t="s">
        <v>22</v>
      </c>
      <c r="C94" s="20">
        <v>11919</v>
      </c>
      <c r="D94" s="21">
        <v>3893</v>
      </c>
      <c r="E94" s="21">
        <f t="shared" si="3"/>
        <v>15812</v>
      </c>
    </row>
    <row r="95" spans="1:5">
      <c r="A95" s="11" t="s">
        <v>43</v>
      </c>
      <c r="B95" s="11" t="s">
        <v>23</v>
      </c>
      <c r="C95" s="20">
        <v>876</v>
      </c>
      <c r="D95" s="21">
        <v>114</v>
      </c>
      <c r="E95" s="21">
        <f t="shared" si="3"/>
        <v>990</v>
      </c>
    </row>
    <row r="96" spans="1:5">
      <c r="A96" s="11" t="s">
        <v>43</v>
      </c>
      <c r="B96" s="11" t="s">
        <v>24</v>
      </c>
      <c r="C96" s="20">
        <v>35</v>
      </c>
      <c r="D96" s="21">
        <v>0</v>
      </c>
      <c r="E96" s="21">
        <f t="shared" si="3"/>
        <v>35</v>
      </c>
    </row>
    <row r="97" spans="1:5">
      <c r="A97" s="11" t="s">
        <v>43</v>
      </c>
      <c r="B97" s="11" t="s">
        <v>25</v>
      </c>
      <c r="C97" s="20">
        <v>92854</v>
      </c>
      <c r="D97" s="21">
        <v>30392</v>
      </c>
      <c r="E97" s="21">
        <f t="shared" si="3"/>
        <v>123246</v>
      </c>
    </row>
    <row r="98" spans="1:5">
      <c r="A98" s="11" t="s">
        <v>43</v>
      </c>
      <c r="B98" s="11" t="s">
        <v>26</v>
      </c>
      <c r="C98" s="20">
        <v>89237</v>
      </c>
      <c r="D98" s="21">
        <v>18907</v>
      </c>
      <c r="E98" s="21">
        <f t="shared" si="3"/>
        <v>108144</v>
      </c>
    </row>
    <row r="99" spans="1:5">
      <c r="A99" s="11" t="s">
        <v>43</v>
      </c>
      <c r="B99" s="11" t="s">
        <v>27</v>
      </c>
      <c r="C99" s="20">
        <v>3498</v>
      </c>
      <c r="D99" s="21">
        <v>1128</v>
      </c>
      <c r="E99" s="21">
        <f t="shared" si="3"/>
        <v>4626</v>
      </c>
    </row>
    <row r="100" spans="1:5">
      <c r="A100" s="11" t="s">
        <v>43</v>
      </c>
      <c r="B100" s="11" t="s">
        <v>28</v>
      </c>
      <c r="C100" s="20">
        <v>11928</v>
      </c>
      <c r="D100" s="21">
        <v>2654</v>
      </c>
      <c r="E100" s="21">
        <f t="shared" si="3"/>
        <v>14582</v>
      </c>
    </row>
    <row r="101" spans="1:5">
      <c r="A101" s="11" t="s">
        <v>43</v>
      </c>
      <c r="B101" s="11" t="s">
        <v>29</v>
      </c>
      <c r="C101" s="20">
        <v>2805</v>
      </c>
      <c r="D101" s="21">
        <v>1124</v>
      </c>
      <c r="E101" s="21">
        <f t="shared" si="3"/>
        <v>3929</v>
      </c>
    </row>
    <row r="102" spans="1:5">
      <c r="A102" s="11" t="s">
        <v>43</v>
      </c>
      <c r="B102" s="11" t="s">
        <v>30</v>
      </c>
      <c r="C102" s="20">
        <v>1935</v>
      </c>
      <c r="D102" s="21">
        <v>773</v>
      </c>
      <c r="E102" s="21">
        <f t="shared" si="3"/>
        <v>2708</v>
      </c>
    </row>
    <row r="103" spans="1:5">
      <c r="A103" s="11" t="s">
        <v>43</v>
      </c>
      <c r="B103" s="11" t="s">
        <v>31</v>
      </c>
      <c r="C103" s="20">
        <v>54481</v>
      </c>
      <c r="D103" s="21">
        <v>7115</v>
      </c>
      <c r="E103" s="21">
        <f t="shared" si="3"/>
        <v>61596</v>
      </c>
    </row>
    <row r="104" spans="1:5">
      <c r="A104" s="11" t="s">
        <v>43</v>
      </c>
      <c r="B104" s="11" t="s">
        <v>32</v>
      </c>
      <c r="C104" s="20">
        <v>445</v>
      </c>
      <c r="D104" s="21">
        <v>282</v>
      </c>
      <c r="E104" s="21">
        <f t="shared" si="3"/>
        <v>727</v>
      </c>
    </row>
    <row r="105" spans="1:5">
      <c r="A105" s="11" t="s">
        <v>43</v>
      </c>
      <c r="B105" s="11" t="s">
        <v>33</v>
      </c>
      <c r="C105" s="20">
        <v>19610</v>
      </c>
      <c r="D105" s="21">
        <v>7718</v>
      </c>
      <c r="E105" s="21">
        <f t="shared" si="3"/>
        <v>27328</v>
      </c>
    </row>
    <row r="106" spans="1:5">
      <c r="A106" s="11" t="s">
        <v>43</v>
      </c>
      <c r="B106" s="11" t="s">
        <v>34</v>
      </c>
      <c r="C106" s="20">
        <v>70121</v>
      </c>
      <c r="D106" s="21">
        <v>37524</v>
      </c>
      <c r="E106" s="21">
        <f t="shared" si="3"/>
        <v>107645</v>
      </c>
    </row>
    <row r="107" spans="1:5">
      <c r="A107" s="11" t="s">
        <v>43</v>
      </c>
      <c r="B107" s="11" t="s">
        <v>35</v>
      </c>
      <c r="C107" s="20">
        <v>874</v>
      </c>
      <c r="D107" s="21">
        <v>374</v>
      </c>
      <c r="E107" s="21">
        <f t="shared" si="3"/>
        <v>1248</v>
      </c>
    </row>
    <row r="108" spans="1:5">
      <c r="A108" s="11" t="s">
        <v>43</v>
      </c>
      <c r="B108" s="11" t="s">
        <v>36</v>
      </c>
      <c r="C108" s="20">
        <v>45941</v>
      </c>
      <c r="D108" s="21">
        <v>12736</v>
      </c>
      <c r="E108" s="21">
        <f t="shared" si="3"/>
        <v>58677</v>
      </c>
    </row>
    <row r="109" spans="1:5">
      <c r="A109" s="11" t="s">
        <v>43</v>
      </c>
      <c r="B109" s="11" t="s">
        <v>37</v>
      </c>
      <c r="C109" s="20">
        <v>30640</v>
      </c>
      <c r="D109" s="21">
        <v>12217</v>
      </c>
      <c r="E109" s="21">
        <f t="shared" si="3"/>
        <v>42857</v>
      </c>
    </row>
    <row r="110" spans="1:5">
      <c r="A110" s="11" t="s">
        <v>43</v>
      </c>
      <c r="B110" s="11" t="s">
        <v>38</v>
      </c>
      <c r="C110" s="20">
        <v>4262</v>
      </c>
      <c r="D110" s="21">
        <v>643</v>
      </c>
      <c r="E110" s="21">
        <f t="shared" si="3"/>
        <v>4905</v>
      </c>
    </row>
    <row r="111" spans="1:5">
      <c r="A111" s="11" t="s">
        <v>43</v>
      </c>
      <c r="B111" s="11" t="s">
        <v>39</v>
      </c>
      <c r="C111" s="20">
        <v>16757</v>
      </c>
      <c r="D111" s="21">
        <v>5736</v>
      </c>
      <c r="E111" s="21">
        <f>SUM(C111:D111)</f>
        <v>22493</v>
      </c>
    </row>
    <row r="112" spans="1:5">
      <c r="A112" s="11" t="s">
        <v>43</v>
      </c>
      <c r="B112" s="11" t="s">
        <v>40</v>
      </c>
      <c r="C112" s="20">
        <v>145195</v>
      </c>
      <c r="D112" s="21">
        <v>109694</v>
      </c>
      <c r="E112" s="21">
        <f>SUM(C112:D112)</f>
        <v>254889</v>
      </c>
    </row>
    <row r="113" spans="1:5">
      <c r="A113" s="11" t="s">
        <v>43</v>
      </c>
      <c r="B113" s="11" t="s">
        <v>41</v>
      </c>
      <c r="C113" s="20">
        <v>82299</v>
      </c>
      <c r="D113" s="21">
        <v>11566</v>
      </c>
      <c r="E113" s="21">
        <f t="shared" si="3"/>
        <v>93865</v>
      </c>
    </row>
  </sheetData>
  <mergeCells count="1">
    <mergeCell ref="A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42D8-BA36-46A4-9996-3E66F7E5B092}">
  <dimension ref="A1:K114"/>
  <sheetViews>
    <sheetView workbookViewId="0">
      <selection sqref="A1:E2"/>
    </sheetView>
  </sheetViews>
  <sheetFormatPr defaultRowHeight="15"/>
  <cols>
    <col min="2" max="2" width="36.5703125" bestFit="1" customWidth="1"/>
    <col min="3" max="3" width="19.42578125" bestFit="1" customWidth="1"/>
    <col min="4" max="4" width="21.7109375" bestFit="1" customWidth="1"/>
    <col min="5" max="5" width="19.85546875" bestFit="1" customWidth="1"/>
    <col min="7" max="7" width="20.85546875" bestFit="1" customWidth="1"/>
    <col min="8" max="8" width="21.5703125" bestFit="1" customWidth="1"/>
    <col min="9" max="9" width="21" bestFit="1" customWidth="1"/>
    <col min="11" max="11" width="12" bestFit="1" customWidth="1"/>
  </cols>
  <sheetData>
    <row r="1" spans="1:9">
      <c r="A1" s="42" t="s">
        <v>44</v>
      </c>
      <c r="B1" s="43"/>
      <c r="C1" s="43"/>
      <c r="D1" s="43"/>
      <c r="E1" s="43"/>
      <c r="G1" s="42" t="s">
        <v>45</v>
      </c>
      <c r="H1" s="43"/>
      <c r="I1" s="43"/>
    </row>
    <row r="2" spans="1:9">
      <c r="A2" s="43"/>
      <c r="B2" s="43"/>
      <c r="C2" s="43"/>
      <c r="D2" s="43"/>
      <c r="E2" s="43"/>
      <c r="G2" s="44"/>
      <c r="H2" s="44"/>
      <c r="I2" s="44"/>
    </row>
    <row r="3" spans="1:9" ht="15.75">
      <c r="A3" s="23" t="s">
        <v>1</v>
      </c>
      <c r="B3" s="24" t="s">
        <v>46</v>
      </c>
      <c r="C3" s="25" t="s">
        <v>47</v>
      </c>
      <c r="D3" s="24" t="s">
        <v>48</v>
      </c>
      <c r="E3" s="24" t="s">
        <v>49</v>
      </c>
      <c r="G3" s="14" t="s">
        <v>50</v>
      </c>
      <c r="H3" s="36" t="s">
        <v>51</v>
      </c>
      <c r="I3" s="14" t="s">
        <v>52</v>
      </c>
    </row>
    <row r="4" spans="1:9">
      <c r="A4" s="11" t="s">
        <v>53</v>
      </c>
      <c r="B4" s="16" t="s">
        <v>6</v>
      </c>
      <c r="C4" s="22">
        <v>26774</v>
      </c>
      <c r="D4" s="22">
        <v>26285</v>
      </c>
      <c r="E4" s="22">
        <f t="shared" ref="E4:E39" si="0">SUM(C4:D4)</f>
        <v>53059</v>
      </c>
      <c r="G4" s="35">
        <v>10762</v>
      </c>
      <c r="H4" s="35">
        <v>10040</v>
      </c>
      <c r="I4" s="35">
        <f t="shared" ref="I4:I39" si="1">SUM(G4:H4)</f>
        <v>20802</v>
      </c>
    </row>
    <row r="5" spans="1:9">
      <c r="A5" s="11" t="s">
        <v>53</v>
      </c>
      <c r="B5" s="11" t="s">
        <v>7</v>
      </c>
      <c r="C5" s="22">
        <v>2437655</v>
      </c>
      <c r="D5" s="22">
        <v>2470244</v>
      </c>
      <c r="E5" s="22">
        <f t="shared" si="0"/>
        <v>4907899</v>
      </c>
      <c r="G5" s="22">
        <v>1840360</v>
      </c>
      <c r="H5" s="22">
        <v>1496388</v>
      </c>
      <c r="I5" s="22">
        <f t="shared" si="1"/>
        <v>3336748</v>
      </c>
    </row>
    <row r="6" spans="1:9">
      <c r="A6" s="11" t="s">
        <v>53</v>
      </c>
      <c r="B6" s="11" t="s">
        <v>8</v>
      </c>
      <c r="C6" s="22">
        <v>122736</v>
      </c>
      <c r="D6" s="22">
        <v>132032</v>
      </c>
      <c r="E6" s="22">
        <f t="shared" si="0"/>
        <v>254768</v>
      </c>
      <c r="G6" s="22">
        <v>54600</v>
      </c>
      <c r="H6" s="22">
        <v>45014</v>
      </c>
      <c r="I6" s="22">
        <f t="shared" si="1"/>
        <v>99614</v>
      </c>
    </row>
    <row r="7" spans="1:9">
      <c r="A7" s="11" t="s">
        <v>53</v>
      </c>
      <c r="B7" s="11" t="s">
        <v>9</v>
      </c>
      <c r="C7" s="22">
        <v>2720135</v>
      </c>
      <c r="D7" s="22">
        <v>2939490</v>
      </c>
      <c r="E7" s="22">
        <f t="shared" si="0"/>
        <v>5659625</v>
      </c>
      <c r="G7" s="22">
        <v>999913</v>
      </c>
      <c r="H7" s="22">
        <v>885422</v>
      </c>
      <c r="I7" s="22">
        <f t="shared" si="1"/>
        <v>1885335</v>
      </c>
    </row>
    <row r="8" spans="1:9">
      <c r="A8" s="11" t="s">
        <v>53</v>
      </c>
      <c r="B8" s="11" t="s">
        <v>10</v>
      </c>
      <c r="C8" s="22">
        <v>11049194</v>
      </c>
      <c r="D8" s="22">
        <v>11137557</v>
      </c>
      <c r="E8" s="22">
        <f t="shared" si="0"/>
        <v>22186751</v>
      </c>
      <c r="G8" s="22">
        <v>3004859</v>
      </c>
      <c r="H8" s="22">
        <v>2281082</v>
      </c>
      <c r="I8" s="22">
        <f t="shared" si="1"/>
        <v>5285941</v>
      </c>
    </row>
    <row r="9" spans="1:9">
      <c r="A9" s="11" t="s">
        <v>53</v>
      </c>
      <c r="B9" s="11" t="s">
        <v>11</v>
      </c>
      <c r="C9" s="22">
        <v>91691</v>
      </c>
      <c r="D9" s="22">
        <v>82265</v>
      </c>
      <c r="E9" s="22">
        <f t="shared" si="0"/>
        <v>173956</v>
      </c>
      <c r="G9" s="22">
        <v>52020</v>
      </c>
      <c r="H9" s="22">
        <v>42651</v>
      </c>
      <c r="I9" s="22">
        <f t="shared" si="1"/>
        <v>94671</v>
      </c>
    </row>
    <row r="10" spans="1:9">
      <c r="A10" s="11" t="s">
        <v>53</v>
      </c>
      <c r="B10" s="11" t="s">
        <v>12</v>
      </c>
      <c r="C10" s="22">
        <v>2124844</v>
      </c>
      <c r="D10" s="22">
        <v>2211458</v>
      </c>
      <c r="E10" s="22">
        <f t="shared" si="0"/>
        <v>4336302</v>
      </c>
      <c r="G10" s="22">
        <v>888402</v>
      </c>
      <c r="H10" s="22">
        <v>767493</v>
      </c>
      <c r="I10" s="22">
        <f t="shared" si="1"/>
        <v>1655895</v>
      </c>
    </row>
    <row r="11" spans="1:9">
      <c r="A11" s="11" t="s">
        <v>53</v>
      </c>
      <c r="B11" s="11" t="s">
        <v>13</v>
      </c>
      <c r="C11" s="22">
        <v>49737</v>
      </c>
      <c r="D11" s="22">
        <v>48398</v>
      </c>
      <c r="E11" s="22">
        <f t="shared" si="0"/>
        <v>98135</v>
      </c>
      <c r="G11" s="22">
        <v>20331</v>
      </c>
      <c r="H11" s="22">
        <v>14892</v>
      </c>
      <c r="I11" s="22">
        <f t="shared" si="1"/>
        <v>35223</v>
      </c>
    </row>
    <row r="12" spans="1:9">
      <c r="A12" s="11" t="s">
        <v>53</v>
      </c>
      <c r="B12" s="11" t="s">
        <v>14</v>
      </c>
      <c r="C12" s="22">
        <v>1469847</v>
      </c>
      <c r="D12" s="22">
        <v>1477738</v>
      </c>
      <c r="E12" s="22">
        <f t="shared" si="0"/>
        <v>2947585</v>
      </c>
      <c r="G12" s="22">
        <v>941476</v>
      </c>
      <c r="H12" s="22">
        <v>683046</v>
      </c>
      <c r="I12" s="22">
        <f t="shared" si="1"/>
        <v>1624522</v>
      </c>
    </row>
    <row r="13" spans="1:9">
      <c r="A13" s="11" t="s">
        <v>53</v>
      </c>
      <c r="B13" s="11" t="s">
        <v>15</v>
      </c>
      <c r="C13" s="22">
        <v>136136</v>
      </c>
      <c r="D13" s="22">
        <v>129733</v>
      </c>
      <c r="E13" s="22">
        <f t="shared" si="0"/>
        <v>265869</v>
      </c>
      <c r="G13" s="22">
        <v>20891</v>
      </c>
      <c r="H13" s="22">
        <v>18222</v>
      </c>
      <c r="I13" s="22">
        <f t="shared" si="1"/>
        <v>39113</v>
      </c>
    </row>
    <row r="14" spans="1:9">
      <c r="A14" s="11" t="s">
        <v>53</v>
      </c>
      <c r="B14" s="11" t="s">
        <v>16</v>
      </c>
      <c r="C14" s="22">
        <v>3772135</v>
      </c>
      <c r="D14" s="22">
        <v>3613165</v>
      </c>
      <c r="E14" s="22">
        <f t="shared" si="0"/>
        <v>7385300</v>
      </c>
      <c r="G14" s="22">
        <v>2386601</v>
      </c>
      <c r="H14" s="22">
        <v>1770375</v>
      </c>
      <c r="I14" s="22">
        <f t="shared" si="1"/>
        <v>4156976</v>
      </c>
    </row>
    <row r="15" spans="1:9">
      <c r="A15" s="11" t="s">
        <v>53</v>
      </c>
      <c r="B15" s="11" t="s">
        <v>17</v>
      </c>
      <c r="C15" s="22">
        <v>1308808</v>
      </c>
      <c r="D15" s="22">
        <v>1302822</v>
      </c>
      <c r="E15" s="22">
        <f t="shared" si="0"/>
        <v>2611630</v>
      </c>
      <c r="G15" s="22">
        <v>1997379</v>
      </c>
      <c r="H15" s="22">
        <v>1426670</v>
      </c>
      <c r="I15" s="22">
        <f t="shared" si="1"/>
        <v>3424049</v>
      </c>
    </row>
    <row r="16" spans="1:9">
      <c r="A16" s="11" t="s">
        <v>53</v>
      </c>
      <c r="B16" s="11" t="s">
        <v>18</v>
      </c>
      <c r="C16" s="22">
        <v>455353</v>
      </c>
      <c r="D16" s="22">
        <v>445396</v>
      </c>
      <c r="E16" s="22">
        <f t="shared" si="0"/>
        <v>900749</v>
      </c>
      <c r="G16" s="22">
        <v>297344</v>
      </c>
      <c r="H16" s="22">
        <v>238929</v>
      </c>
      <c r="I16" s="22">
        <f t="shared" si="1"/>
        <v>536273</v>
      </c>
    </row>
    <row r="17" spans="1:9">
      <c r="A17" s="11" t="s">
        <v>53</v>
      </c>
      <c r="B17" s="11" t="s">
        <v>19</v>
      </c>
      <c r="C17" s="22">
        <v>740371</v>
      </c>
      <c r="D17" s="22">
        <v>733206</v>
      </c>
      <c r="E17" s="22">
        <f t="shared" si="0"/>
        <v>1473577</v>
      </c>
      <c r="G17" s="22">
        <v>683543</v>
      </c>
      <c r="H17" s="22">
        <v>561524</v>
      </c>
      <c r="I17" s="22">
        <f t="shared" si="1"/>
        <v>1245067</v>
      </c>
    </row>
    <row r="18" spans="1:9">
      <c r="A18" s="11" t="s">
        <v>53</v>
      </c>
      <c r="B18" s="11" t="s">
        <v>20</v>
      </c>
      <c r="C18" s="22">
        <v>2703670</v>
      </c>
      <c r="D18" s="22">
        <v>2855052</v>
      </c>
      <c r="E18" s="22">
        <f t="shared" si="0"/>
        <v>5558722</v>
      </c>
      <c r="G18" s="22">
        <v>1357168</v>
      </c>
      <c r="H18" s="22">
        <v>1054860</v>
      </c>
      <c r="I18" s="22">
        <f t="shared" si="1"/>
        <v>2412028</v>
      </c>
    </row>
    <row r="19" spans="1:9">
      <c r="A19" s="11" t="s">
        <v>53</v>
      </c>
      <c r="B19" s="11" t="s">
        <v>21</v>
      </c>
      <c r="C19" s="22">
        <v>3431355</v>
      </c>
      <c r="D19" s="22">
        <v>3506984</v>
      </c>
      <c r="E19" s="22">
        <f t="shared" si="0"/>
        <v>6938339</v>
      </c>
      <c r="G19" s="22">
        <v>2802759</v>
      </c>
      <c r="H19" s="22">
        <v>2351283</v>
      </c>
      <c r="I19" s="22">
        <f t="shared" si="1"/>
        <v>5154042</v>
      </c>
    </row>
    <row r="20" spans="1:9">
      <c r="A20" s="11" t="s">
        <v>53</v>
      </c>
      <c r="B20" s="11" t="s">
        <v>22</v>
      </c>
      <c r="C20" s="22">
        <v>2373598</v>
      </c>
      <c r="D20" s="22">
        <v>2316970</v>
      </c>
      <c r="E20" s="22">
        <f t="shared" si="0"/>
        <v>4690568</v>
      </c>
      <c r="G20" s="22">
        <v>898594</v>
      </c>
      <c r="H20" s="22">
        <v>833958</v>
      </c>
      <c r="I20" s="22">
        <f t="shared" si="1"/>
        <v>1732552</v>
      </c>
    </row>
    <row r="21" spans="1:9">
      <c r="A21" s="11" t="s">
        <v>53</v>
      </c>
      <c r="B21" s="11" t="s">
        <v>23</v>
      </c>
      <c r="C21" s="22">
        <v>14040</v>
      </c>
      <c r="D21" s="22">
        <v>15990</v>
      </c>
      <c r="E21" s="22">
        <f t="shared" si="0"/>
        <v>30030</v>
      </c>
      <c r="G21" s="22">
        <v>15623</v>
      </c>
      <c r="H21" s="22">
        <v>14135</v>
      </c>
      <c r="I21" s="22">
        <f t="shared" si="1"/>
        <v>29758</v>
      </c>
    </row>
    <row r="22" spans="1:9">
      <c r="A22" s="11" t="s">
        <v>53</v>
      </c>
      <c r="B22" s="11" t="s">
        <v>24</v>
      </c>
      <c r="C22" s="22">
        <v>6997</v>
      </c>
      <c r="D22" s="22">
        <v>6589</v>
      </c>
      <c r="E22" s="22">
        <f t="shared" si="0"/>
        <v>13586</v>
      </c>
      <c r="G22" s="11">
        <v>0</v>
      </c>
      <c r="H22" s="22">
        <v>0</v>
      </c>
      <c r="I22" s="22">
        <f t="shared" si="1"/>
        <v>0</v>
      </c>
    </row>
    <row r="23" spans="1:9">
      <c r="A23" s="11" t="s">
        <v>53</v>
      </c>
      <c r="B23" s="11" t="s">
        <v>25</v>
      </c>
      <c r="C23" s="22">
        <v>4737382</v>
      </c>
      <c r="D23" s="22">
        <v>4804248</v>
      </c>
      <c r="E23" s="22">
        <f t="shared" si="0"/>
        <v>9541630</v>
      </c>
      <c r="G23" s="22">
        <v>3721003</v>
      </c>
      <c r="H23" s="22">
        <v>2906632</v>
      </c>
      <c r="I23" s="22">
        <f t="shared" si="1"/>
        <v>6627635</v>
      </c>
    </row>
    <row r="24" spans="1:9">
      <c r="A24" s="11" t="s">
        <v>53</v>
      </c>
      <c r="B24" s="11" t="s">
        <v>26</v>
      </c>
      <c r="C24" s="22">
        <v>8298112</v>
      </c>
      <c r="D24" s="22">
        <v>7793911</v>
      </c>
      <c r="E24" s="22">
        <f t="shared" si="0"/>
        <v>16092023</v>
      </c>
      <c r="G24" s="22">
        <v>3656524</v>
      </c>
      <c r="H24" s="22">
        <v>2838148</v>
      </c>
      <c r="I24" s="22">
        <f t="shared" si="1"/>
        <v>6494672</v>
      </c>
    </row>
    <row r="25" spans="1:9">
      <c r="A25" s="11" t="s">
        <v>53</v>
      </c>
      <c r="B25" s="11" t="s">
        <v>27</v>
      </c>
      <c r="C25" s="22">
        <v>122609</v>
      </c>
      <c r="D25" s="22">
        <v>124479</v>
      </c>
      <c r="E25" s="22">
        <f t="shared" si="0"/>
        <v>247088</v>
      </c>
      <c r="G25" s="22">
        <v>229590</v>
      </c>
      <c r="H25" s="22">
        <v>216516</v>
      </c>
      <c r="I25" s="22">
        <f t="shared" si="1"/>
        <v>446106</v>
      </c>
    </row>
    <row r="26" spans="1:9">
      <c r="A26" s="11" t="s">
        <v>53</v>
      </c>
      <c r="B26" s="11" t="s">
        <v>28</v>
      </c>
      <c r="C26" s="22">
        <v>422131</v>
      </c>
      <c r="D26" s="22">
        <v>439957</v>
      </c>
      <c r="E26" s="22">
        <f t="shared" si="0"/>
        <v>862088</v>
      </c>
      <c r="G26" s="22">
        <v>150391</v>
      </c>
      <c r="H26" s="22">
        <v>157241</v>
      </c>
      <c r="I26" s="22">
        <f t="shared" si="1"/>
        <v>307632</v>
      </c>
    </row>
    <row r="27" spans="1:9">
      <c r="A27" s="11" t="s">
        <v>53</v>
      </c>
      <c r="B27" s="11" t="s">
        <v>29</v>
      </c>
      <c r="C27" s="22">
        <v>83886</v>
      </c>
      <c r="D27" s="22">
        <v>81555</v>
      </c>
      <c r="E27" s="22">
        <f t="shared" si="0"/>
        <v>165441</v>
      </c>
      <c r="G27" s="22">
        <v>72330</v>
      </c>
      <c r="H27" s="22">
        <v>72133</v>
      </c>
      <c r="I27" s="22">
        <f t="shared" si="1"/>
        <v>144463</v>
      </c>
    </row>
    <row r="28" spans="1:9">
      <c r="A28" s="11" t="s">
        <v>53</v>
      </c>
      <c r="B28" s="11" t="s">
        <v>30</v>
      </c>
      <c r="C28" s="22">
        <v>81008</v>
      </c>
      <c r="D28" s="22">
        <v>89211</v>
      </c>
      <c r="E28" s="22">
        <f t="shared" si="0"/>
        <v>170219</v>
      </c>
      <c r="G28" s="22">
        <v>141501</v>
      </c>
      <c r="H28" s="22">
        <v>132076</v>
      </c>
      <c r="I28" s="22">
        <f t="shared" si="1"/>
        <v>273577</v>
      </c>
    </row>
    <row r="29" spans="1:9">
      <c r="A29" s="11" t="s">
        <v>53</v>
      </c>
      <c r="B29" s="11" t="s">
        <v>31</v>
      </c>
      <c r="C29" s="22">
        <v>3070371</v>
      </c>
      <c r="D29" s="22">
        <v>3043728</v>
      </c>
      <c r="E29" s="22">
        <f t="shared" si="0"/>
        <v>6114099</v>
      </c>
      <c r="G29" s="22">
        <v>810392</v>
      </c>
      <c r="H29" s="22">
        <v>652402</v>
      </c>
      <c r="I29" s="22">
        <f t="shared" si="1"/>
        <v>1462794</v>
      </c>
    </row>
    <row r="30" spans="1:9">
      <c r="A30" s="11" t="s">
        <v>53</v>
      </c>
      <c r="B30" s="11" t="s">
        <v>32</v>
      </c>
      <c r="C30" s="22">
        <v>56985</v>
      </c>
      <c r="D30" s="22">
        <v>64581</v>
      </c>
      <c r="E30" s="22">
        <f t="shared" si="0"/>
        <v>121566</v>
      </c>
      <c r="G30" s="22">
        <v>73787</v>
      </c>
      <c r="H30" s="22">
        <v>60193</v>
      </c>
      <c r="I30" s="22">
        <f t="shared" si="1"/>
        <v>133980</v>
      </c>
    </row>
    <row r="31" spans="1:9">
      <c r="A31" s="11" t="s">
        <v>53</v>
      </c>
      <c r="B31" s="11" t="s">
        <v>33</v>
      </c>
      <c r="C31" s="22">
        <v>1713915</v>
      </c>
      <c r="D31" s="22">
        <v>1568156</v>
      </c>
      <c r="E31" s="22">
        <f t="shared" si="0"/>
        <v>3282071</v>
      </c>
      <c r="G31" s="22">
        <v>1605489</v>
      </c>
      <c r="H31" s="22">
        <v>1259940</v>
      </c>
      <c r="I31" s="22">
        <f t="shared" si="1"/>
        <v>2865429</v>
      </c>
    </row>
    <row r="32" spans="1:9">
      <c r="A32" s="11" t="s">
        <v>53</v>
      </c>
      <c r="B32" s="11" t="s">
        <v>34</v>
      </c>
      <c r="C32" s="22">
        <v>4909937</v>
      </c>
      <c r="D32" s="22">
        <v>5002343</v>
      </c>
      <c r="E32" s="22">
        <f t="shared" si="0"/>
        <v>9912280</v>
      </c>
      <c r="G32" s="22">
        <v>4542054</v>
      </c>
      <c r="H32" s="22">
        <v>3213176</v>
      </c>
      <c r="I32" s="22">
        <f t="shared" si="1"/>
        <v>7755230</v>
      </c>
    </row>
    <row r="33" spans="1:11">
      <c r="A33" s="11" t="s">
        <v>53</v>
      </c>
      <c r="B33" s="11" t="s">
        <v>35</v>
      </c>
      <c r="C33" s="22">
        <v>43243</v>
      </c>
      <c r="D33" s="22">
        <v>45139</v>
      </c>
      <c r="E33" s="22">
        <f t="shared" si="0"/>
        <v>88382</v>
      </c>
      <c r="G33" s="22">
        <v>25465</v>
      </c>
      <c r="H33" s="22">
        <v>22116</v>
      </c>
      <c r="I33" s="22">
        <f t="shared" si="1"/>
        <v>47581</v>
      </c>
    </row>
    <row r="34" spans="1:11">
      <c r="A34" s="11" t="s">
        <v>53</v>
      </c>
      <c r="B34" s="11" t="s">
        <v>36</v>
      </c>
      <c r="C34" s="22">
        <v>3730190</v>
      </c>
      <c r="D34" s="22">
        <v>3824015</v>
      </c>
      <c r="E34" s="22">
        <f t="shared" si="0"/>
        <v>7554205</v>
      </c>
      <c r="G34" s="22">
        <v>2848805</v>
      </c>
      <c r="H34" s="22">
        <v>2427941</v>
      </c>
      <c r="I34" s="22">
        <f t="shared" si="1"/>
        <v>5276746</v>
      </c>
    </row>
    <row r="35" spans="1:11">
      <c r="A35" s="11" t="s">
        <v>53</v>
      </c>
      <c r="B35" s="11" t="s">
        <v>37</v>
      </c>
      <c r="C35" s="22">
        <v>1673240</v>
      </c>
      <c r="D35" s="22">
        <v>1721060</v>
      </c>
      <c r="E35" s="22">
        <f t="shared" si="0"/>
        <v>3394300</v>
      </c>
      <c r="G35" s="22">
        <v>1912451</v>
      </c>
      <c r="H35" s="22">
        <v>1608490</v>
      </c>
      <c r="I35" s="22">
        <f t="shared" si="1"/>
        <v>3520941</v>
      </c>
    </row>
    <row r="36" spans="1:11">
      <c r="A36" s="11" t="s">
        <v>53</v>
      </c>
      <c r="B36" s="11" t="s">
        <v>38</v>
      </c>
      <c r="C36" s="22">
        <v>280382</v>
      </c>
      <c r="D36" s="22">
        <v>289309</v>
      </c>
      <c r="E36" s="22">
        <f t="shared" si="0"/>
        <v>569691</v>
      </c>
      <c r="G36" s="22">
        <v>78933</v>
      </c>
      <c r="H36" s="22">
        <v>65238</v>
      </c>
      <c r="I36" s="22">
        <f t="shared" si="1"/>
        <v>144171</v>
      </c>
    </row>
    <row r="37" spans="1:11">
      <c r="A37" s="11" t="s">
        <v>53</v>
      </c>
      <c r="B37" s="11" t="s">
        <v>39</v>
      </c>
      <c r="C37" s="22">
        <v>557468</v>
      </c>
      <c r="D37" s="22">
        <v>580155</v>
      </c>
      <c r="E37" s="22">
        <f>SUM(C37:D37)</f>
        <v>1137623</v>
      </c>
      <c r="G37" s="22">
        <v>738738</v>
      </c>
      <c r="H37" s="22">
        <v>573565</v>
      </c>
      <c r="I37" s="22">
        <f>SUM(G37:H37)</f>
        <v>1312303</v>
      </c>
    </row>
    <row r="38" spans="1:11">
      <c r="A38" s="11" t="s">
        <v>53</v>
      </c>
      <c r="B38" s="11" t="s">
        <v>40</v>
      </c>
      <c r="C38" s="22">
        <v>12183057</v>
      </c>
      <c r="D38" s="22">
        <v>11760435</v>
      </c>
      <c r="E38" s="22">
        <f>SUM(C38:D38)</f>
        <v>23943492</v>
      </c>
      <c r="G38" s="22">
        <v>12692624</v>
      </c>
      <c r="H38" s="22">
        <v>10545322</v>
      </c>
      <c r="I38" s="22">
        <f>SUM(G38:H38)</f>
        <v>23237946</v>
      </c>
    </row>
    <row r="39" spans="1:11">
      <c r="A39" s="11" t="s">
        <v>53</v>
      </c>
      <c r="B39" s="11" t="s">
        <v>41</v>
      </c>
      <c r="C39" s="22">
        <v>8173221</v>
      </c>
      <c r="D39" s="22">
        <v>8424068</v>
      </c>
      <c r="E39" s="22">
        <f t="shared" si="0"/>
        <v>16597289</v>
      </c>
      <c r="G39" s="22">
        <v>1155663</v>
      </c>
      <c r="H39" s="22">
        <v>980415</v>
      </c>
      <c r="I39" s="22">
        <f t="shared" si="1"/>
        <v>2136078</v>
      </c>
    </row>
    <row r="40" spans="1:11">
      <c r="E40" s="26"/>
      <c r="I40" s="26"/>
      <c r="K40" s="26"/>
    </row>
    <row r="41" spans="1:11">
      <c r="A41" s="11" t="s">
        <v>54</v>
      </c>
      <c r="B41" s="16" t="s">
        <v>6</v>
      </c>
      <c r="C41" s="22">
        <v>27478</v>
      </c>
      <c r="D41" s="22">
        <v>26476</v>
      </c>
      <c r="E41" s="22">
        <f t="shared" ref="E41:E76" si="2">SUM(C41:D41)</f>
        <v>53954</v>
      </c>
      <c r="G41" s="22">
        <v>11005</v>
      </c>
      <c r="H41" s="22">
        <v>10148</v>
      </c>
      <c r="I41" s="22">
        <f t="shared" ref="I41:I76" si="3">SUM(G41:H41)</f>
        <v>21153</v>
      </c>
    </row>
    <row r="42" spans="1:11">
      <c r="A42" s="11" t="s">
        <v>54</v>
      </c>
      <c r="B42" s="11" t="s">
        <v>7</v>
      </c>
      <c r="C42" s="22">
        <v>2139759</v>
      </c>
      <c r="D42" s="22">
        <v>2279153</v>
      </c>
      <c r="E42" s="22">
        <f t="shared" si="2"/>
        <v>4418912</v>
      </c>
      <c r="G42" s="22">
        <v>2329511</v>
      </c>
      <c r="H42" s="22">
        <v>1873769</v>
      </c>
      <c r="I42" s="22">
        <f t="shared" si="3"/>
        <v>4203280</v>
      </c>
    </row>
    <row r="43" spans="1:11">
      <c r="A43" s="11" t="s">
        <v>54</v>
      </c>
      <c r="B43" s="11" t="s">
        <v>8</v>
      </c>
      <c r="C43" s="22">
        <v>107589</v>
      </c>
      <c r="D43" s="22">
        <v>119433</v>
      </c>
      <c r="E43" s="22">
        <f t="shared" si="2"/>
        <v>227022</v>
      </c>
      <c r="G43" s="22">
        <v>54224</v>
      </c>
      <c r="H43" s="22">
        <v>43772</v>
      </c>
      <c r="I43" s="22">
        <f t="shared" si="3"/>
        <v>97996</v>
      </c>
    </row>
    <row r="44" spans="1:11">
      <c r="A44" s="11" t="s">
        <v>54</v>
      </c>
      <c r="B44" s="11" t="s">
        <v>9</v>
      </c>
      <c r="C44" s="22">
        <v>2632627</v>
      </c>
      <c r="D44" s="22">
        <v>2844075</v>
      </c>
      <c r="E44" s="22">
        <f t="shared" si="2"/>
        <v>5476702</v>
      </c>
      <c r="G44" s="22">
        <v>880148</v>
      </c>
      <c r="H44" s="22">
        <v>760050</v>
      </c>
      <c r="I44" s="22">
        <f t="shared" si="3"/>
        <v>1640198</v>
      </c>
    </row>
    <row r="45" spans="1:11">
      <c r="A45" s="11" t="s">
        <v>54</v>
      </c>
      <c r="B45" s="11" t="s">
        <v>10</v>
      </c>
      <c r="C45" s="22">
        <v>10118776</v>
      </c>
      <c r="D45" s="22">
        <v>10395582</v>
      </c>
      <c r="E45" s="22">
        <f t="shared" si="2"/>
        <v>20514358</v>
      </c>
      <c r="G45" s="22">
        <v>2384923</v>
      </c>
      <c r="H45" s="22">
        <v>1644417</v>
      </c>
      <c r="I45" s="22">
        <f t="shared" si="3"/>
        <v>4029340</v>
      </c>
    </row>
    <row r="46" spans="1:11">
      <c r="A46" s="11" t="s">
        <v>54</v>
      </c>
      <c r="B46" s="11" t="s">
        <v>11</v>
      </c>
      <c r="C46" s="22">
        <v>91205</v>
      </c>
      <c r="D46" s="22">
        <v>82168</v>
      </c>
      <c r="E46" s="22">
        <f t="shared" si="2"/>
        <v>173373</v>
      </c>
      <c r="G46" s="22">
        <v>52901</v>
      </c>
      <c r="H46" s="22">
        <v>44036</v>
      </c>
      <c r="I46" s="22">
        <f t="shared" si="3"/>
        <v>96937</v>
      </c>
    </row>
    <row r="47" spans="1:11">
      <c r="A47" s="11" t="s">
        <v>54</v>
      </c>
      <c r="B47" s="11" t="s">
        <v>12</v>
      </c>
      <c r="C47" s="22">
        <v>2025484</v>
      </c>
      <c r="D47" s="22">
        <v>2128790</v>
      </c>
      <c r="E47" s="22">
        <f t="shared" si="2"/>
        <v>4154274</v>
      </c>
      <c r="G47" s="22">
        <v>865330</v>
      </c>
      <c r="H47" s="22">
        <v>744606</v>
      </c>
      <c r="I47" s="22">
        <f t="shared" si="3"/>
        <v>1609936</v>
      </c>
    </row>
    <row r="48" spans="1:11">
      <c r="A48" s="11" t="s">
        <v>54</v>
      </c>
      <c r="B48" s="11" t="s">
        <v>13</v>
      </c>
      <c r="C48" s="22">
        <v>50839</v>
      </c>
      <c r="D48" s="22">
        <v>49982</v>
      </c>
      <c r="E48" s="22">
        <f t="shared" si="2"/>
        <v>100821</v>
      </c>
      <c r="G48" s="22">
        <v>22460</v>
      </c>
      <c r="H48" s="22">
        <v>16686</v>
      </c>
      <c r="I48" s="22">
        <f t="shared" si="3"/>
        <v>39146</v>
      </c>
    </row>
    <row r="49" spans="1:9">
      <c r="A49" s="11" t="s">
        <v>54</v>
      </c>
      <c r="B49" s="11" t="s">
        <v>14</v>
      </c>
      <c r="C49" s="22">
        <v>1454798</v>
      </c>
      <c r="D49" s="22">
        <v>1470993</v>
      </c>
      <c r="E49" s="22">
        <f t="shared" si="2"/>
        <v>2925791</v>
      </c>
      <c r="G49" s="22">
        <v>991301</v>
      </c>
      <c r="H49" s="22">
        <v>711422</v>
      </c>
      <c r="I49" s="22">
        <f t="shared" si="3"/>
        <v>1702723</v>
      </c>
    </row>
    <row r="50" spans="1:9">
      <c r="A50" s="11" t="s">
        <v>54</v>
      </c>
      <c r="B50" s="11" t="s">
        <v>15</v>
      </c>
      <c r="C50" s="22">
        <v>137531</v>
      </c>
      <c r="D50" s="22">
        <v>130861</v>
      </c>
      <c r="E50" s="22">
        <f t="shared" si="2"/>
        <v>268392</v>
      </c>
      <c r="G50" s="22">
        <v>22109</v>
      </c>
      <c r="H50" s="22">
        <v>19093</v>
      </c>
      <c r="I50" s="22">
        <f t="shared" si="3"/>
        <v>41202</v>
      </c>
    </row>
    <row r="51" spans="1:9">
      <c r="A51" s="11" t="s">
        <v>54</v>
      </c>
      <c r="B51" s="11" t="s">
        <v>16</v>
      </c>
      <c r="C51" s="22">
        <v>3677186</v>
      </c>
      <c r="D51" s="22">
        <v>3543831</v>
      </c>
      <c r="E51" s="22">
        <f t="shared" si="2"/>
        <v>7221017</v>
      </c>
      <c r="G51" s="22">
        <v>2471626</v>
      </c>
      <c r="H51" s="22">
        <v>1806937</v>
      </c>
      <c r="I51" s="22">
        <f t="shared" si="3"/>
        <v>4278563</v>
      </c>
    </row>
    <row r="52" spans="1:9">
      <c r="A52" s="11" t="s">
        <v>54</v>
      </c>
      <c r="B52" s="11" t="s">
        <v>17</v>
      </c>
      <c r="C52" s="22">
        <v>1228207</v>
      </c>
      <c r="D52" s="22">
        <v>1238883</v>
      </c>
      <c r="E52" s="22">
        <f t="shared" si="2"/>
        <v>2467090</v>
      </c>
      <c r="G52" s="22">
        <v>1914147</v>
      </c>
      <c r="H52" s="22">
        <v>1346082</v>
      </c>
      <c r="I52" s="22">
        <f t="shared" si="3"/>
        <v>3260229</v>
      </c>
    </row>
    <row r="53" spans="1:9">
      <c r="A53" s="11" t="s">
        <v>54</v>
      </c>
      <c r="B53" s="11" t="s">
        <v>18</v>
      </c>
      <c r="C53" s="22">
        <v>439942</v>
      </c>
      <c r="D53" s="22">
        <v>432116</v>
      </c>
      <c r="E53" s="22">
        <f t="shared" si="2"/>
        <v>872058</v>
      </c>
      <c r="G53" s="22">
        <v>302924</v>
      </c>
      <c r="H53" s="22">
        <v>244406</v>
      </c>
      <c r="I53" s="22">
        <f t="shared" si="3"/>
        <v>547330</v>
      </c>
    </row>
    <row r="54" spans="1:9">
      <c r="A54" s="11" t="s">
        <v>54</v>
      </c>
      <c r="B54" s="11" t="s">
        <v>19</v>
      </c>
      <c r="C54" s="22">
        <v>731019</v>
      </c>
      <c r="D54" s="22">
        <v>723850</v>
      </c>
      <c r="E54" s="22">
        <f t="shared" si="2"/>
        <v>1454869</v>
      </c>
      <c r="G54" s="22">
        <v>639445</v>
      </c>
      <c r="H54" s="22">
        <v>520021</v>
      </c>
      <c r="I54" s="22">
        <f t="shared" si="3"/>
        <v>1159466</v>
      </c>
    </row>
    <row r="55" spans="1:9">
      <c r="A55" s="11" t="s">
        <v>54</v>
      </c>
      <c r="B55" s="11" t="s">
        <v>20</v>
      </c>
      <c r="C55" s="22">
        <v>2552709</v>
      </c>
      <c r="D55" s="22">
        <v>2680563</v>
      </c>
      <c r="E55" s="22">
        <f t="shared" si="2"/>
        <v>5233272</v>
      </c>
      <c r="G55" s="22">
        <v>1136452</v>
      </c>
      <c r="H55" s="22">
        <v>839537</v>
      </c>
      <c r="I55" s="22">
        <f t="shared" si="3"/>
        <v>1975989</v>
      </c>
    </row>
    <row r="56" spans="1:9">
      <c r="A56" s="11" t="s">
        <v>54</v>
      </c>
      <c r="B56" s="11" t="s">
        <v>21</v>
      </c>
      <c r="C56" s="22">
        <v>3361163</v>
      </c>
      <c r="D56" s="22">
        <v>3477595</v>
      </c>
      <c r="E56" s="22">
        <f t="shared" si="2"/>
        <v>6838758</v>
      </c>
      <c r="G56" s="22">
        <v>3012926</v>
      </c>
      <c r="H56" s="22">
        <v>2546970</v>
      </c>
      <c r="I56" s="22">
        <f t="shared" si="3"/>
        <v>5559896</v>
      </c>
    </row>
    <row r="57" spans="1:9">
      <c r="A57" s="11" t="s">
        <v>54</v>
      </c>
      <c r="B57" s="11" t="s">
        <v>22</v>
      </c>
      <c r="C57" s="22">
        <v>2345996</v>
      </c>
      <c r="D57" s="22">
        <v>2291705</v>
      </c>
      <c r="E57" s="22">
        <f t="shared" si="2"/>
        <v>4637701</v>
      </c>
      <c r="G57" s="22">
        <v>804340</v>
      </c>
      <c r="H57" s="22">
        <v>743319</v>
      </c>
      <c r="I57" s="22">
        <f t="shared" si="3"/>
        <v>1547659</v>
      </c>
    </row>
    <row r="58" spans="1:9">
      <c r="A58" s="11" t="s">
        <v>54</v>
      </c>
      <c r="B58" s="11" t="s">
        <v>23</v>
      </c>
      <c r="C58" s="22">
        <v>13834</v>
      </c>
      <c r="D58" s="22">
        <v>15402</v>
      </c>
      <c r="E58" s="22">
        <f t="shared" si="2"/>
        <v>29236</v>
      </c>
      <c r="G58" s="22">
        <v>15666</v>
      </c>
      <c r="H58" s="22">
        <v>13939</v>
      </c>
      <c r="I58" s="22">
        <f t="shared" si="3"/>
        <v>29605</v>
      </c>
    </row>
    <row r="59" spans="1:9">
      <c r="A59" s="11" t="s">
        <v>54</v>
      </c>
      <c r="B59" s="11" t="s">
        <v>24</v>
      </c>
      <c r="C59" s="22">
        <v>6411</v>
      </c>
      <c r="D59" s="22">
        <v>6176</v>
      </c>
      <c r="E59" s="22">
        <f t="shared" si="2"/>
        <v>12587</v>
      </c>
      <c r="G59" s="22">
        <v>0</v>
      </c>
      <c r="H59" s="22">
        <v>0</v>
      </c>
      <c r="I59" s="22">
        <f t="shared" si="3"/>
        <v>0</v>
      </c>
    </row>
    <row r="60" spans="1:9">
      <c r="A60" s="11" t="s">
        <v>54</v>
      </c>
      <c r="B60" s="11" t="s">
        <v>25</v>
      </c>
      <c r="C60" s="22">
        <v>4547489</v>
      </c>
      <c r="D60" s="22">
        <v>4649892</v>
      </c>
      <c r="E60" s="22">
        <f t="shared" si="2"/>
        <v>9197381</v>
      </c>
      <c r="G60" s="22">
        <v>3437617</v>
      </c>
      <c r="H60" s="22">
        <v>2606682</v>
      </c>
      <c r="I60" s="22">
        <f t="shared" si="3"/>
        <v>6044299</v>
      </c>
    </row>
    <row r="61" spans="1:9">
      <c r="A61" s="11" t="s">
        <v>54</v>
      </c>
      <c r="B61" s="11" t="s">
        <v>26</v>
      </c>
      <c r="C61" s="22">
        <v>7843194</v>
      </c>
      <c r="D61" s="22">
        <v>7391393</v>
      </c>
      <c r="E61" s="22">
        <f t="shared" si="2"/>
        <v>15234587</v>
      </c>
      <c r="G61" s="22">
        <v>3319565</v>
      </c>
      <c r="H61" s="22">
        <v>2595914</v>
      </c>
      <c r="I61" s="22">
        <f t="shared" si="3"/>
        <v>5915479</v>
      </c>
    </row>
    <row r="62" spans="1:9">
      <c r="A62" s="11" t="s">
        <v>54</v>
      </c>
      <c r="B62" s="11" t="s">
        <v>27</v>
      </c>
      <c r="C62" s="22">
        <v>120250</v>
      </c>
      <c r="D62" s="22">
        <v>121607</v>
      </c>
      <c r="E62" s="22">
        <f t="shared" si="2"/>
        <v>241857</v>
      </c>
      <c r="G62" s="22">
        <v>214532</v>
      </c>
      <c r="H62" s="22">
        <v>199231</v>
      </c>
      <c r="I62" s="22">
        <f t="shared" si="3"/>
        <v>413763</v>
      </c>
    </row>
    <row r="63" spans="1:9">
      <c r="A63" s="11" t="s">
        <v>54</v>
      </c>
      <c r="B63" s="11" t="s">
        <v>28</v>
      </c>
      <c r="C63" s="22">
        <v>389486</v>
      </c>
      <c r="D63" s="22">
        <v>406341</v>
      </c>
      <c r="E63" s="22">
        <f t="shared" si="2"/>
        <v>795827</v>
      </c>
      <c r="G63" s="22">
        <v>135121</v>
      </c>
      <c r="H63" s="22">
        <v>144018</v>
      </c>
      <c r="I63" s="22">
        <f t="shared" si="3"/>
        <v>279139</v>
      </c>
    </row>
    <row r="64" spans="1:9">
      <c r="A64" s="11" t="s">
        <v>54</v>
      </c>
      <c r="B64" s="11" t="s">
        <v>29</v>
      </c>
      <c r="C64" s="22">
        <v>78804</v>
      </c>
      <c r="D64" s="22">
        <v>77739</v>
      </c>
      <c r="E64" s="22">
        <f t="shared" si="2"/>
        <v>156543</v>
      </c>
      <c r="G64" s="22">
        <v>68540</v>
      </c>
      <c r="H64" s="22">
        <v>68120</v>
      </c>
      <c r="I64" s="22">
        <f t="shared" si="3"/>
        <v>136660</v>
      </c>
    </row>
    <row r="65" spans="1:11">
      <c r="A65" s="11" t="s">
        <v>54</v>
      </c>
      <c r="B65" s="11" t="s">
        <v>30</v>
      </c>
      <c r="C65" s="22">
        <v>74698</v>
      </c>
      <c r="D65" s="22">
        <v>81477</v>
      </c>
      <c r="E65" s="22">
        <f t="shared" si="2"/>
        <v>156175</v>
      </c>
      <c r="G65" s="22">
        <v>134259</v>
      </c>
      <c r="H65" s="22">
        <v>125221</v>
      </c>
      <c r="I65" s="22">
        <f t="shared" si="3"/>
        <v>259480</v>
      </c>
    </row>
    <row r="66" spans="1:11">
      <c r="A66" s="11" t="s">
        <v>54</v>
      </c>
      <c r="B66" s="11" t="s">
        <v>31</v>
      </c>
      <c r="C66" s="22">
        <v>3121482</v>
      </c>
      <c r="D66" s="22">
        <v>3084943</v>
      </c>
      <c r="E66" s="22">
        <f t="shared" si="2"/>
        <v>6206425</v>
      </c>
      <c r="G66" s="22">
        <v>803208</v>
      </c>
      <c r="H66" s="22">
        <v>640292</v>
      </c>
      <c r="I66" s="22">
        <f t="shared" si="3"/>
        <v>1443500</v>
      </c>
    </row>
    <row r="67" spans="1:11">
      <c r="A67" s="11" t="s">
        <v>54</v>
      </c>
      <c r="B67" s="11" t="s">
        <v>32</v>
      </c>
      <c r="C67" s="22">
        <v>53088</v>
      </c>
      <c r="D67" s="22">
        <v>61523</v>
      </c>
      <c r="E67" s="22">
        <f t="shared" si="2"/>
        <v>114611</v>
      </c>
      <c r="G67" s="22">
        <v>75558</v>
      </c>
      <c r="H67" s="22">
        <v>61312</v>
      </c>
      <c r="I67" s="22">
        <f t="shared" si="3"/>
        <v>136870</v>
      </c>
    </row>
    <row r="68" spans="1:11">
      <c r="A68" s="11" t="s">
        <v>54</v>
      </c>
      <c r="B68" s="11" t="s">
        <v>33</v>
      </c>
      <c r="C68" s="22">
        <v>1601748</v>
      </c>
      <c r="D68" s="22">
        <v>1489288</v>
      </c>
      <c r="E68" s="22">
        <f t="shared" si="2"/>
        <v>3091036</v>
      </c>
      <c r="G68" s="22">
        <v>1578729</v>
      </c>
      <c r="H68" s="22">
        <v>1245458</v>
      </c>
      <c r="I68" s="22">
        <f t="shared" si="3"/>
        <v>2824187</v>
      </c>
    </row>
    <row r="69" spans="1:11">
      <c r="A69" s="11" t="s">
        <v>54</v>
      </c>
      <c r="B69" s="11" t="s">
        <v>34</v>
      </c>
      <c r="C69" s="22">
        <v>4481708</v>
      </c>
      <c r="D69" s="22">
        <v>4768785</v>
      </c>
      <c r="E69" s="22">
        <f t="shared" si="2"/>
        <v>9250493</v>
      </c>
      <c r="G69" s="22">
        <v>4975087</v>
      </c>
      <c r="H69" s="22">
        <v>3481582</v>
      </c>
      <c r="I69" s="22">
        <f t="shared" si="3"/>
        <v>8456669</v>
      </c>
    </row>
    <row r="70" spans="1:11">
      <c r="A70" s="11" t="s">
        <v>54</v>
      </c>
      <c r="B70" s="11" t="s">
        <v>35</v>
      </c>
      <c r="C70" s="22">
        <v>40985</v>
      </c>
      <c r="D70" s="22">
        <v>42472</v>
      </c>
      <c r="E70" s="22">
        <f t="shared" si="2"/>
        <v>83457</v>
      </c>
      <c r="G70" s="22">
        <v>23977</v>
      </c>
      <c r="H70" s="22">
        <v>20770</v>
      </c>
      <c r="I70" s="22">
        <f t="shared" si="3"/>
        <v>44747</v>
      </c>
    </row>
    <row r="71" spans="1:11">
      <c r="A71" s="11" t="s">
        <v>54</v>
      </c>
      <c r="B71" s="11" t="s">
        <v>36</v>
      </c>
      <c r="C71" s="22">
        <v>3513234</v>
      </c>
      <c r="D71" s="22">
        <v>3668101</v>
      </c>
      <c r="E71" s="22">
        <f t="shared" si="2"/>
        <v>7181335</v>
      </c>
      <c r="G71" s="22">
        <v>3082714</v>
      </c>
      <c r="H71" s="22">
        <v>2616061</v>
      </c>
      <c r="I71" s="22">
        <f t="shared" si="3"/>
        <v>5698775</v>
      </c>
    </row>
    <row r="72" spans="1:11">
      <c r="A72" s="11" t="s">
        <v>54</v>
      </c>
      <c r="B72" s="11" t="s">
        <v>37</v>
      </c>
      <c r="C72" s="22">
        <v>1505703</v>
      </c>
      <c r="D72" s="22">
        <v>1590173</v>
      </c>
      <c r="E72" s="22">
        <f t="shared" si="2"/>
        <v>3095876</v>
      </c>
      <c r="G72" s="22">
        <v>2136053</v>
      </c>
      <c r="H72" s="22">
        <v>1795157</v>
      </c>
      <c r="I72" s="22">
        <f t="shared" si="3"/>
        <v>3931210</v>
      </c>
    </row>
    <row r="73" spans="1:11">
      <c r="A73" s="11" t="s">
        <v>54</v>
      </c>
      <c r="B73" s="11" t="s">
        <v>38</v>
      </c>
      <c r="C73" s="22">
        <v>270615</v>
      </c>
      <c r="D73" s="22">
        <v>280562</v>
      </c>
      <c r="E73" s="22">
        <f t="shared" si="2"/>
        <v>551177</v>
      </c>
      <c r="G73" s="22">
        <v>78499</v>
      </c>
      <c r="H73" s="22">
        <v>64863</v>
      </c>
      <c r="I73" s="22">
        <f t="shared" si="3"/>
        <v>143362</v>
      </c>
    </row>
    <row r="74" spans="1:11">
      <c r="A74" s="11" t="s">
        <v>54</v>
      </c>
      <c r="B74" s="11" t="s">
        <v>39</v>
      </c>
      <c r="C74" s="22">
        <v>537393</v>
      </c>
      <c r="D74" s="22">
        <v>562889</v>
      </c>
      <c r="E74" s="22">
        <f>SUM(C74:D74)</f>
        <v>1100282</v>
      </c>
      <c r="G74" s="22">
        <v>709449</v>
      </c>
      <c r="H74" s="22">
        <v>547473</v>
      </c>
      <c r="I74" s="22">
        <f>SUM(G74:H74)</f>
        <v>1256922</v>
      </c>
    </row>
    <row r="75" spans="1:11">
      <c r="A75" s="11" t="s">
        <v>54</v>
      </c>
      <c r="B75" s="11" t="s">
        <v>40</v>
      </c>
      <c r="C75" s="22">
        <v>11642852</v>
      </c>
      <c r="D75" s="22">
        <v>11327798</v>
      </c>
      <c r="E75" s="22">
        <f>SUM(C75:D75)</f>
        <v>22970650</v>
      </c>
      <c r="G75" s="22">
        <v>10401784</v>
      </c>
      <c r="H75" s="22">
        <v>8299771</v>
      </c>
      <c r="I75" s="22">
        <f>SUM(G75:H75)</f>
        <v>18701555</v>
      </c>
    </row>
    <row r="76" spans="1:11">
      <c r="A76" s="11" t="s">
        <v>54</v>
      </c>
      <c r="B76" s="11" t="s">
        <v>41</v>
      </c>
      <c r="C76" s="22">
        <v>7886560</v>
      </c>
      <c r="D76" s="22">
        <v>8043938</v>
      </c>
      <c r="E76" s="22">
        <f t="shared" si="2"/>
        <v>15930498</v>
      </c>
      <c r="G76" s="22">
        <v>940068</v>
      </c>
      <c r="H76" s="22">
        <v>885992</v>
      </c>
      <c r="I76" s="22">
        <f t="shared" si="3"/>
        <v>1826060</v>
      </c>
    </row>
    <row r="77" spans="1:11">
      <c r="E77" s="26"/>
      <c r="I77" s="26"/>
      <c r="K77" s="26"/>
    </row>
    <row r="78" spans="1:11">
      <c r="A78" s="11" t="s">
        <v>55</v>
      </c>
      <c r="B78" s="16" t="s">
        <v>6</v>
      </c>
      <c r="C78" s="22">
        <v>25428</v>
      </c>
      <c r="D78" s="22">
        <v>25182</v>
      </c>
      <c r="E78" s="22">
        <f t="shared" ref="E78:E113" si="4">SUM(C78:D78)</f>
        <v>50610</v>
      </c>
      <c r="G78" s="22">
        <v>11207</v>
      </c>
      <c r="H78" s="22">
        <v>10302</v>
      </c>
      <c r="I78" s="22">
        <f t="shared" ref="I78:I113" si="5">SUM(G78:H78)</f>
        <v>21509</v>
      </c>
    </row>
    <row r="79" spans="1:11">
      <c r="A79" s="11" t="s">
        <v>55</v>
      </c>
      <c r="B79" s="11" t="s">
        <v>7</v>
      </c>
      <c r="C79" s="22">
        <v>1996819</v>
      </c>
      <c r="D79" s="22">
        <v>2178781</v>
      </c>
      <c r="E79" s="22">
        <f t="shared" si="4"/>
        <v>4175600</v>
      </c>
      <c r="G79" s="22">
        <v>2534642</v>
      </c>
      <c r="H79" s="22">
        <v>2031643</v>
      </c>
      <c r="I79" s="22">
        <f t="shared" si="5"/>
        <v>4566285</v>
      </c>
    </row>
    <row r="80" spans="1:11">
      <c r="A80" s="11" t="s">
        <v>55</v>
      </c>
      <c r="B80" s="11" t="s">
        <v>8</v>
      </c>
      <c r="C80" s="22">
        <v>98076</v>
      </c>
      <c r="D80" s="22">
        <v>110935</v>
      </c>
      <c r="E80" s="22">
        <f t="shared" si="4"/>
        <v>209011</v>
      </c>
      <c r="G80" s="22">
        <v>63412</v>
      </c>
      <c r="H80" s="22">
        <v>51294</v>
      </c>
      <c r="I80" s="22">
        <f t="shared" si="5"/>
        <v>114706</v>
      </c>
    </row>
    <row r="81" spans="1:9">
      <c r="A81" s="11" t="s">
        <v>55</v>
      </c>
      <c r="B81" s="11" t="s">
        <v>9</v>
      </c>
      <c r="C81" s="22">
        <v>2476908</v>
      </c>
      <c r="D81" s="22">
        <v>2713023</v>
      </c>
      <c r="E81" s="22">
        <f t="shared" si="4"/>
        <v>5189931</v>
      </c>
      <c r="G81" s="22">
        <v>930400</v>
      </c>
      <c r="H81" s="22">
        <v>802202</v>
      </c>
      <c r="I81" s="22">
        <f t="shared" si="5"/>
        <v>1732602</v>
      </c>
    </row>
    <row r="82" spans="1:9">
      <c r="A82" s="11" t="s">
        <v>55</v>
      </c>
      <c r="B82" s="11" t="s">
        <v>10</v>
      </c>
      <c r="C82" s="22">
        <v>8674525</v>
      </c>
      <c r="D82" s="22">
        <v>8916632</v>
      </c>
      <c r="E82" s="22">
        <f t="shared" si="4"/>
        <v>17591157</v>
      </c>
      <c r="G82" s="22">
        <v>2244072</v>
      </c>
      <c r="H82" s="22">
        <v>1512920</v>
      </c>
      <c r="I82" s="22">
        <f t="shared" si="5"/>
        <v>3756992</v>
      </c>
    </row>
    <row r="83" spans="1:9">
      <c r="A83" s="11" t="s">
        <v>55</v>
      </c>
      <c r="B83" s="11" t="s">
        <v>11</v>
      </c>
      <c r="C83" s="22">
        <v>85344</v>
      </c>
      <c r="D83" s="22">
        <v>79065</v>
      </c>
      <c r="E83" s="22">
        <f t="shared" si="4"/>
        <v>164409</v>
      </c>
      <c r="G83" s="22">
        <v>55138</v>
      </c>
      <c r="H83" s="22">
        <v>46159</v>
      </c>
      <c r="I83" s="22">
        <f t="shared" si="5"/>
        <v>101297</v>
      </c>
    </row>
    <row r="84" spans="1:9">
      <c r="A84" s="11" t="s">
        <v>55</v>
      </c>
      <c r="B84" s="11" t="s">
        <v>12</v>
      </c>
      <c r="C84" s="22">
        <v>1948740</v>
      </c>
      <c r="D84" s="22">
        <v>2068237</v>
      </c>
      <c r="E84" s="22">
        <f t="shared" si="4"/>
        <v>4016977</v>
      </c>
      <c r="G84" s="22">
        <v>945465</v>
      </c>
      <c r="H84" s="22">
        <v>814106</v>
      </c>
      <c r="I84" s="22">
        <f t="shared" si="5"/>
        <v>1759571</v>
      </c>
    </row>
    <row r="85" spans="1:9">
      <c r="A85" s="11" t="s">
        <v>55</v>
      </c>
      <c r="B85" s="11" t="s">
        <v>13</v>
      </c>
      <c r="C85" s="22">
        <v>50513</v>
      </c>
      <c r="D85" s="22">
        <v>49729</v>
      </c>
      <c r="E85" s="22">
        <f t="shared" si="4"/>
        <v>100242</v>
      </c>
      <c r="G85" s="22">
        <v>23408</v>
      </c>
      <c r="H85" s="22">
        <v>17632</v>
      </c>
      <c r="I85" s="22">
        <f t="shared" si="5"/>
        <v>41040</v>
      </c>
    </row>
    <row r="86" spans="1:9">
      <c r="A86" s="11" t="s">
        <v>55</v>
      </c>
      <c r="B86" s="11" t="s">
        <v>14</v>
      </c>
      <c r="C86" s="22">
        <v>1329469</v>
      </c>
      <c r="D86" s="22">
        <v>1381179</v>
      </c>
      <c r="E86" s="22">
        <f t="shared" si="4"/>
        <v>2710648</v>
      </c>
      <c r="G86" s="22">
        <v>1040741</v>
      </c>
      <c r="H86" s="22">
        <v>755189</v>
      </c>
      <c r="I86" s="22">
        <f t="shared" si="5"/>
        <v>1795930</v>
      </c>
    </row>
    <row r="87" spans="1:9">
      <c r="A87" s="11" t="s">
        <v>55</v>
      </c>
      <c r="B87" s="11" t="s">
        <v>15</v>
      </c>
      <c r="C87" s="22">
        <v>134781</v>
      </c>
      <c r="D87" s="22">
        <v>129144</v>
      </c>
      <c r="E87" s="22">
        <f t="shared" si="4"/>
        <v>263925</v>
      </c>
      <c r="G87" s="22">
        <v>21862</v>
      </c>
      <c r="H87" s="22">
        <v>18948</v>
      </c>
      <c r="I87" s="22">
        <f t="shared" si="5"/>
        <v>40810</v>
      </c>
    </row>
    <row r="88" spans="1:9">
      <c r="A88" s="11" t="s">
        <v>55</v>
      </c>
      <c r="B88" s="11" t="s">
        <v>16</v>
      </c>
      <c r="C88" s="22">
        <v>3585834</v>
      </c>
      <c r="D88" s="22">
        <v>3505264</v>
      </c>
      <c r="E88" s="22">
        <f t="shared" si="4"/>
        <v>7091098</v>
      </c>
      <c r="G88" s="22">
        <v>2535926</v>
      </c>
      <c r="H88" s="22">
        <v>1869685</v>
      </c>
      <c r="I88" s="22">
        <f t="shared" si="5"/>
        <v>4405611</v>
      </c>
    </row>
    <row r="89" spans="1:9">
      <c r="A89" s="11" t="s">
        <v>55</v>
      </c>
      <c r="B89" s="11" t="s">
        <v>17</v>
      </c>
      <c r="C89" s="22">
        <v>1091253</v>
      </c>
      <c r="D89" s="22">
        <v>1140440</v>
      </c>
      <c r="E89" s="22">
        <f t="shared" si="4"/>
        <v>2231693</v>
      </c>
      <c r="G89" s="22">
        <v>1956289</v>
      </c>
      <c r="H89" s="22">
        <v>1411760</v>
      </c>
      <c r="I89" s="22">
        <f t="shared" si="5"/>
        <v>3368049</v>
      </c>
    </row>
    <row r="90" spans="1:9">
      <c r="A90" s="11" t="s">
        <v>55</v>
      </c>
      <c r="B90" s="11" t="s">
        <v>18</v>
      </c>
      <c r="C90" s="22">
        <v>415889</v>
      </c>
      <c r="D90" s="22">
        <v>415956</v>
      </c>
      <c r="E90" s="22">
        <f t="shared" si="4"/>
        <v>831845</v>
      </c>
      <c r="G90" s="22">
        <v>328805</v>
      </c>
      <c r="H90" s="22">
        <v>265762</v>
      </c>
      <c r="I90" s="22">
        <f t="shared" si="5"/>
        <v>594567</v>
      </c>
    </row>
    <row r="91" spans="1:9">
      <c r="A91" s="11" t="s">
        <v>55</v>
      </c>
      <c r="B91" s="11" t="s">
        <v>19</v>
      </c>
      <c r="C91" s="22">
        <v>709601</v>
      </c>
      <c r="D91" s="22">
        <v>712226</v>
      </c>
      <c r="E91" s="22">
        <f t="shared" si="4"/>
        <v>1421827</v>
      </c>
      <c r="G91" s="22">
        <v>663622</v>
      </c>
      <c r="H91" s="22">
        <v>544500</v>
      </c>
      <c r="I91" s="22">
        <f t="shared" si="5"/>
        <v>1208122</v>
      </c>
    </row>
    <row r="92" spans="1:9">
      <c r="A92" s="11" t="s">
        <v>55</v>
      </c>
      <c r="B92" s="11" t="s">
        <v>20</v>
      </c>
      <c r="C92" s="22">
        <v>2502050</v>
      </c>
      <c r="D92" s="22">
        <v>2624498</v>
      </c>
      <c r="E92" s="22">
        <f t="shared" si="4"/>
        <v>5126548</v>
      </c>
      <c r="G92" s="22">
        <v>1158088</v>
      </c>
      <c r="H92" s="22">
        <v>858619</v>
      </c>
      <c r="I92" s="22">
        <f t="shared" si="5"/>
        <v>2016707</v>
      </c>
    </row>
    <row r="93" spans="1:9">
      <c r="A93" s="11" t="s">
        <v>55</v>
      </c>
      <c r="B93" s="11" t="s">
        <v>21</v>
      </c>
      <c r="C93" s="22">
        <v>3149611</v>
      </c>
      <c r="D93" s="22">
        <v>3295439</v>
      </c>
      <c r="E93" s="22">
        <f t="shared" si="4"/>
        <v>6445050</v>
      </c>
      <c r="G93" s="22">
        <v>2960435</v>
      </c>
      <c r="H93" s="22">
        <v>2520818</v>
      </c>
      <c r="I93" s="22">
        <f t="shared" si="5"/>
        <v>5481253</v>
      </c>
    </row>
    <row r="94" spans="1:9">
      <c r="A94" s="11" t="s">
        <v>55</v>
      </c>
      <c r="B94" s="11" t="s">
        <v>22</v>
      </c>
      <c r="C94" s="22">
        <v>2298162</v>
      </c>
      <c r="D94" s="22">
        <v>2252660</v>
      </c>
      <c r="E94" s="22">
        <f t="shared" si="4"/>
        <v>4550822</v>
      </c>
      <c r="G94" s="22">
        <v>898712</v>
      </c>
      <c r="H94" s="22">
        <v>832170</v>
      </c>
      <c r="I94" s="22">
        <f t="shared" si="5"/>
        <v>1730882</v>
      </c>
    </row>
    <row r="95" spans="1:9">
      <c r="A95" s="11" t="s">
        <v>55</v>
      </c>
      <c r="B95" s="11" t="s">
        <v>23</v>
      </c>
      <c r="C95" s="22">
        <v>12620</v>
      </c>
      <c r="D95" s="22">
        <v>14353</v>
      </c>
      <c r="E95" s="22">
        <f t="shared" si="4"/>
        <v>26973</v>
      </c>
      <c r="G95" s="22">
        <v>15647</v>
      </c>
      <c r="H95" s="22">
        <v>14022</v>
      </c>
      <c r="I95" s="22">
        <f t="shared" si="5"/>
        <v>29669</v>
      </c>
    </row>
    <row r="96" spans="1:9">
      <c r="A96" s="11" t="s">
        <v>55</v>
      </c>
      <c r="B96" s="11" t="s">
        <v>24</v>
      </c>
      <c r="C96" s="22">
        <v>6357</v>
      </c>
      <c r="D96" s="22">
        <v>6234</v>
      </c>
      <c r="E96" s="22">
        <f t="shared" si="4"/>
        <v>12591</v>
      </c>
      <c r="G96" s="22">
        <v>0</v>
      </c>
      <c r="H96" s="22">
        <v>0</v>
      </c>
      <c r="I96" s="22">
        <f t="shared" si="5"/>
        <v>0</v>
      </c>
    </row>
    <row r="97" spans="1:9">
      <c r="A97" s="11" t="s">
        <v>55</v>
      </c>
      <c r="B97" s="11" t="s">
        <v>25</v>
      </c>
      <c r="C97" s="22">
        <v>4289535</v>
      </c>
      <c r="D97" s="22">
        <v>4476587</v>
      </c>
      <c r="E97" s="22">
        <f t="shared" si="4"/>
        <v>8766122</v>
      </c>
      <c r="G97" s="22">
        <v>3732666</v>
      </c>
      <c r="H97" s="22">
        <v>2862755</v>
      </c>
      <c r="I97" s="22">
        <f t="shared" si="5"/>
        <v>6595421</v>
      </c>
    </row>
    <row r="98" spans="1:9">
      <c r="A98" s="11" t="s">
        <v>55</v>
      </c>
      <c r="B98" s="11" t="s">
        <v>26</v>
      </c>
      <c r="C98" s="22">
        <v>7727935</v>
      </c>
      <c r="D98" s="22">
        <v>7370244</v>
      </c>
      <c r="E98" s="22">
        <f t="shared" si="4"/>
        <v>15098179</v>
      </c>
      <c r="G98" s="22">
        <v>3498601</v>
      </c>
      <c r="H98" s="22">
        <v>2779190</v>
      </c>
      <c r="I98" s="22">
        <f t="shared" si="5"/>
        <v>6277791</v>
      </c>
    </row>
    <row r="99" spans="1:9">
      <c r="A99" s="11" t="s">
        <v>55</v>
      </c>
      <c r="B99" s="11" t="s">
        <v>27</v>
      </c>
      <c r="C99" s="22">
        <v>114595</v>
      </c>
      <c r="D99" s="22">
        <v>115482</v>
      </c>
      <c r="E99" s="22">
        <f t="shared" si="4"/>
        <v>230077</v>
      </c>
      <c r="G99" s="22">
        <v>216564</v>
      </c>
      <c r="H99" s="22">
        <v>200793</v>
      </c>
      <c r="I99" s="22">
        <f t="shared" si="5"/>
        <v>417357</v>
      </c>
    </row>
    <row r="100" spans="1:9">
      <c r="A100" s="11" t="s">
        <v>55</v>
      </c>
      <c r="B100" s="11" t="s">
        <v>28</v>
      </c>
      <c r="C100" s="22">
        <v>376315</v>
      </c>
      <c r="D100" s="22">
        <v>389967</v>
      </c>
      <c r="E100" s="22">
        <f t="shared" si="4"/>
        <v>766282</v>
      </c>
      <c r="G100" s="22">
        <v>139135</v>
      </c>
      <c r="H100" s="22">
        <v>147467</v>
      </c>
      <c r="I100" s="22">
        <f t="shared" si="5"/>
        <v>286602</v>
      </c>
    </row>
    <row r="101" spans="1:9">
      <c r="A101" s="11" t="s">
        <v>55</v>
      </c>
      <c r="B101" s="11" t="s">
        <v>29</v>
      </c>
      <c r="C101" s="22">
        <v>74898</v>
      </c>
      <c r="D101" s="22">
        <v>74179</v>
      </c>
      <c r="E101" s="22">
        <f t="shared" si="4"/>
        <v>149077</v>
      </c>
      <c r="G101" s="22">
        <v>72924</v>
      </c>
      <c r="H101" s="22">
        <v>71762</v>
      </c>
      <c r="I101" s="22">
        <f t="shared" si="5"/>
        <v>144686</v>
      </c>
    </row>
    <row r="102" spans="1:9">
      <c r="A102" s="11" t="s">
        <v>55</v>
      </c>
      <c r="B102" s="11" t="s">
        <v>30</v>
      </c>
      <c r="C102" s="22">
        <v>67419</v>
      </c>
      <c r="D102" s="22">
        <v>74433</v>
      </c>
      <c r="E102" s="22">
        <f t="shared" si="4"/>
        <v>141852</v>
      </c>
      <c r="G102" s="22">
        <v>140590</v>
      </c>
      <c r="H102" s="22">
        <v>130533</v>
      </c>
      <c r="I102" s="22">
        <f t="shared" si="5"/>
        <v>271123</v>
      </c>
    </row>
    <row r="103" spans="1:9">
      <c r="A103" s="11" t="s">
        <v>55</v>
      </c>
      <c r="B103" s="11" t="s">
        <v>31</v>
      </c>
      <c r="C103" s="22">
        <v>3099188</v>
      </c>
      <c r="D103" s="22">
        <v>3081165</v>
      </c>
      <c r="E103" s="22">
        <f t="shared" si="4"/>
        <v>6180353</v>
      </c>
      <c r="G103" s="22">
        <v>879541</v>
      </c>
      <c r="H103" s="22">
        <v>697016</v>
      </c>
      <c r="I103" s="22">
        <f t="shared" si="5"/>
        <v>1576557</v>
      </c>
    </row>
    <row r="104" spans="1:9">
      <c r="A104" s="11" t="s">
        <v>55</v>
      </c>
      <c r="B104" s="11" t="s">
        <v>32</v>
      </c>
      <c r="C104" s="22">
        <v>48446</v>
      </c>
      <c r="D104" s="22">
        <v>57336</v>
      </c>
      <c r="E104" s="22">
        <f t="shared" si="4"/>
        <v>105782</v>
      </c>
      <c r="G104" s="22">
        <v>76580</v>
      </c>
      <c r="H104" s="22">
        <v>62466</v>
      </c>
      <c r="I104" s="22">
        <f t="shared" si="5"/>
        <v>139046</v>
      </c>
    </row>
    <row r="105" spans="1:9">
      <c r="A105" s="11" t="s">
        <v>55</v>
      </c>
      <c r="B105" s="11" t="s">
        <v>33</v>
      </c>
      <c r="C105" s="22">
        <v>1547479</v>
      </c>
      <c r="D105" s="22">
        <v>1458459</v>
      </c>
      <c r="E105" s="22">
        <f t="shared" si="4"/>
        <v>3005938</v>
      </c>
      <c r="G105" s="22">
        <v>1659919</v>
      </c>
      <c r="H105" s="22">
        <v>1322824</v>
      </c>
      <c r="I105" s="22">
        <f t="shared" si="5"/>
        <v>2982743</v>
      </c>
    </row>
    <row r="106" spans="1:9">
      <c r="A106" s="11" t="s">
        <v>55</v>
      </c>
      <c r="B106" s="11" t="s">
        <v>34</v>
      </c>
      <c r="C106" s="22">
        <v>3978214</v>
      </c>
      <c r="D106" s="22">
        <v>4403361</v>
      </c>
      <c r="E106" s="22">
        <f t="shared" si="4"/>
        <v>8381575</v>
      </c>
      <c r="G106" s="22">
        <v>4925453</v>
      </c>
      <c r="H106" s="22">
        <v>3479037</v>
      </c>
      <c r="I106" s="22">
        <f t="shared" si="5"/>
        <v>8404490</v>
      </c>
    </row>
    <row r="107" spans="1:9">
      <c r="A107" s="11" t="s">
        <v>55</v>
      </c>
      <c r="B107" s="11" t="s">
        <v>35</v>
      </c>
      <c r="C107" s="22">
        <v>36327</v>
      </c>
      <c r="D107" s="22">
        <v>36288</v>
      </c>
      <c r="E107" s="22">
        <f t="shared" si="4"/>
        <v>72615</v>
      </c>
      <c r="G107" s="22">
        <v>25361</v>
      </c>
      <c r="H107" s="22">
        <v>23419</v>
      </c>
      <c r="I107" s="22">
        <f t="shared" si="5"/>
        <v>48780</v>
      </c>
    </row>
    <row r="108" spans="1:9">
      <c r="A108" s="11" t="s">
        <v>55</v>
      </c>
      <c r="B108" s="11" t="s">
        <v>36</v>
      </c>
      <c r="C108" s="22">
        <v>3376618</v>
      </c>
      <c r="D108" s="22">
        <v>3560763</v>
      </c>
      <c r="E108" s="22">
        <f t="shared" si="4"/>
        <v>6937381</v>
      </c>
      <c r="G108" s="22">
        <v>3280499</v>
      </c>
      <c r="H108" s="22">
        <v>2775170</v>
      </c>
      <c r="I108" s="22">
        <f t="shared" si="5"/>
        <v>6055669</v>
      </c>
    </row>
    <row r="109" spans="1:9">
      <c r="A109" s="11" t="s">
        <v>55</v>
      </c>
      <c r="B109" s="11" t="s">
        <v>37</v>
      </c>
      <c r="C109" s="22">
        <v>1358546</v>
      </c>
      <c r="D109" s="22">
        <v>1500112</v>
      </c>
      <c r="E109" s="22">
        <f t="shared" si="4"/>
        <v>2858658</v>
      </c>
      <c r="G109" s="22">
        <v>2409102</v>
      </c>
      <c r="H109" s="22">
        <v>2025884</v>
      </c>
      <c r="I109" s="22">
        <f t="shared" si="5"/>
        <v>4434986</v>
      </c>
    </row>
    <row r="110" spans="1:9">
      <c r="A110" s="11" t="s">
        <v>55</v>
      </c>
      <c r="B110" s="11" t="s">
        <v>38</v>
      </c>
      <c r="C110" s="22">
        <v>262684</v>
      </c>
      <c r="D110" s="22">
        <v>272367</v>
      </c>
      <c r="E110" s="22">
        <f t="shared" si="4"/>
        <v>535051</v>
      </c>
      <c r="G110" s="22">
        <v>84461</v>
      </c>
      <c r="H110" s="22">
        <v>69896</v>
      </c>
      <c r="I110" s="22">
        <f t="shared" si="5"/>
        <v>154357</v>
      </c>
    </row>
    <row r="111" spans="1:9">
      <c r="A111" s="11" t="s">
        <v>55</v>
      </c>
      <c r="B111" s="11" t="s">
        <v>39</v>
      </c>
      <c r="C111" s="22">
        <v>493025</v>
      </c>
      <c r="D111" s="22">
        <v>526836</v>
      </c>
      <c r="E111" s="22">
        <f>SUM(C111:D111)</f>
        <v>1019861</v>
      </c>
      <c r="G111" s="22">
        <v>758471</v>
      </c>
      <c r="H111" s="22">
        <v>594068</v>
      </c>
      <c r="I111" s="22">
        <f>SUM(G111:H111)</f>
        <v>1352539</v>
      </c>
    </row>
    <row r="112" spans="1:9">
      <c r="A112" s="11" t="s">
        <v>55</v>
      </c>
      <c r="B112" s="11" t="s">
        <v>40</v>
      </c>
      <c r="C112" s="22">
        <v>10280635</v>
      </c>
      <c r="D112" s="22">
        <v>10299750</v>
      </c>
      <c r="E112" s="22">
        <f>SUM(C112:D112)</f>
        <v>20580385</v>
      </c>
      <c r="G112" s="22">
        <v>11748086</v>
      </c>
      <c r="H112" s="22">
        <v>9334323</v>
      </c>
      <c r="I112" s="22">
        <f>SUM(G112:H112)</f>
        <v>21082409</v>
      </c>
    </row>
    <row r="113" spans="1:11">
      <c r="A113" s="11" t="s">
        <v>55</v>
      </c>
      <c r="B113" s="11" t="s">
        <v>41</v>
      </c>
      <c r="C113" s="22">
        <v>7938495</v>
      </c>
      <c r="D113" s="22">
        <v>8059400</v>
      </c>
      <c r="E113" s="22">
        <f t="shared" si="4"/>
        <v>15997895</v>
      </c>
      <c r="G113" s="22">
        <v>1046433</v>
      </c>
      <c r="H113" s="22">
        <v>971197</v>
      </c>
      <c r="I113" s="22">
        <f t="shared" si="5"/>
        <v>2017630</v>
      </c>
    </row>
    <row r="114" spans="1:11">
      <c r="E114" s="26"/>
      <c r="I114" s="26"/>
      <c r="K114" s="26"/>
    </row>
  </sheetData>
  <mergeCells count="2">
    <mergeCell ref="A1:E2"/>
    <mergeCell ref="G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809-1321-4510-8F12-F8D5357C0BB1}">
  <dimension ref="A1:I113"/>
  <sheetViews>
    <sheetView workbookViewId="0">
      <selection activeCell="F7" sqref="F7"/>
    </sheetView>
  </sheetViews>
  <sheetFormatPr defaultRowHeight="15"/>
  <cols>
    <col min="1" max="1" width="9.28515625" bestFit="1" customWidth="1"/>
    <col min="2" max="2" width="36.5703125" bestFit="1" customWidth="1"/>
    <col min="3" max="3" width="20.7109375" bestFit="1" customWidth="1"/>
    <col min="4" max="4" width="22.85546875" bestFit="1" customWidth="1"/>
    <col min="5" max="5" width="21.28515625" bestFit="1" customWidth="1"/>
    <col min="7" max="7" width="20.85546875" bestFit="1" customWidth="1"/>
    <col min="8" max="8" width="23" bestFit="1" customWidth="1"/>
    <col min="9" max="9" width="21" bestFit="1" customWidth="1"/>
  </cols>
  <sheetData>
    <row r="1" spans="1:9">
      <c r="A1" s="42" t="s">
        <v>56</v>
      </c>
      <c r="B1" s="43"/>
      <c r="C1" s="43"/>
      <c r="D1" s="43"/>
      <c r="E1" s="43"/>
      <c r="G1" s="42" t="s">
        <v>57</v>
      </c>
      <c r="H1" s="43"/>
      <c r="I1" s="43"/>
    </row>
    <row r="2" spans="1:9">
      <c r="A2" s="43"/>
      <c r="B2" s="43"/>
      <c r="C2" s="43"/>
      <c r="D2" s="43"/>
      <c r="E2" s="43"/>
      <c r="G2" s="43"/>
      <c r="H2" s="43"/>
      <c r="I2" s="43"/>
    </row>
    <row r="3" spans="1:9" ht="15.75">
      <c r="A3" s="23" t="s">
        <v>1</v>
      </c>
      <c r="B3" s="24" t="s">
        <v>46</v>
      </c>
      <c r="C3" s="25" t="s">
        <v>58</v>
      </c>
      <c r="D3" s="24" t="s">
        <v>59</v>
      </c>
      <c r="E3" s="24" t="s">
        <v>60</v>
      </c>
      <c r="G3" s="14" t="s">
        <v>61</v>
      </c>
      <c r="H3" s="14" t="s">
        <v>62</v>
      </c>
      <c r="I3" s="14" t="s">
        <v>63</v>
      </c>
    </row>
    <row r="4" spans="1:9">
      <c r="A4" s="11" t="s">
        <v>53</v>
      </c>
      <c r="B4" s="16" t="s">
        <v>6</v>
      </c>
      <c r="C4" s="11">
        <v>1612</v>
      </c>
      <c r="D4" s="11">
        <v>2640</v>
      </c>
      <c r="E4" s="11">
        <f>SUM(C4:D4)</f>
        <v>4252</v>
      </c>
      <c r="G4" s="11">
        <v>193</v>
      </c>
      <c r="H4" s="11">
        <v>836</v>
      </c>
      <c r="I4" s="11">
        <f>SUM(G4:H4)</f>
        <v>1029</v>
      </c>
    </row>
    <row r="5" spans="1:9">
      <c r="A5" s="11" t="s">
        <v>53</v>
      </c>
      <c r="B5" s="11" t="s">
        <v>7</v>
      </c>
      <c r="C5" s="11">
        <v>107550</v>
      </c>
      <c r="D5" s="11">
        <v>90062</v>
      </c>
      <c r="E5" s="11">
        <f>SUM(C5:D5)</f>
        <v>197612</v>
      </c>
      <c r="G5" s="11">
        <v>51127</v>
      </c>
      <c r="H5" s="11">
        <v>71985</v>
      </c>
      <c r="I5" s="11">
        <f>SUM(G5:H5)</f>
        <v>123112</v>
      </c>
    </row>
    <row r="6" spans="1:9">
      <c r="A6" s="11" t="s">
        <v>53</v>
      </c>
      <c r="B6" s="11" t="s">
        <v>8</v>
      </c>
      <c r="C6" s="11">
        <v>9760</v>
      </c>
      <c r="D6" s="11">
        <v>7684</v>
      </c>
      <c r="E6" s="11">
        <f>SUM(C6:D6)</f>
        <v>17444</v>
      </c>
      <c r="G6" s="11">
        <v>2445</v>
      </c>
      <c r="H6" s="11">
        <v>3818</v>
      </c>
      <c r="I6" s="11">
        <f>SUM(G6:H6)</f>
        <v>6263</v>
      </c>
    </row>
    <row r="7" spans="1:9">
      <c r="A7" s="11" t="s">
        <v>53</v>
      </c>
      <c r="B7" s="11" t="s">
        <v>9</v>
      </c>
      <c r="C7" s="11">
        <v>157050</v>
      </c>
      <c r="D7" s="11">
        <v>90468</v>
      </c>
      <c r="E7" s="11">
        <f>SUM(C7:D7)</f>
        <v>247518</v>
      </c>
      <c r="G7" s="11">
        <v>51142</v>
      </c>
      <c r="H7" s="11">
        <v>54284</v>
      </c>
      <c r="I7" s="11">
        <f>SUM(G7:H7)</f>
        <v>105426</v>
      </c>
    </row>
    <row r="8" spans="1:9">
      <c r="A8" s="11" t="s">
        <v>53</v>
      </c>
      <c r="B8" s="11" t="s">
        <v>10</v>
      </c>
      <c r="C8" s="11">
        <v>241115</v>
      </c>
      <c r="D8" s="11">
        <v>160257</v>
      </c>
      <c r="E8" s="11">
        <f>SUM(C8:D8)</f>
        <v>401372</v>
      </c>
      <c r="G8" s="11">
        <v>107045</v>
      </c>
      <c r="H8" s="11">
        <v>74459</v>
      </c>
      <c r="I8" s="11">
        <f>SUM(G8:H8)</f>
        <v>181504</v>
      </c>
    </row>
    <row r="9" spans="1:9">
      <c r="A9" s="11" t="s">
        <v>53</v>
      </c>
      <c r="B9" s="11" t="s">
        <v>11</v>
      </c>
      <c r="C9" s="11">
        <v>1469</v>
      </c>
      <c r="D9" s="11">
        <v>3734</v>
      </c>
      <c r="E9" s="11">
        <f>SUM(C9:D9)</f>
        <v>5203</v>
      </c>
      <c r="G9" s="11">
        <v>347</v>
      </c>
      <c r="H9" s="11">
        <v>3795</v>
      </c>
      <c r="I9" s="11">
        <f>SUM(G9:H9)</f>
        <v>4142</v>
      </c>
    </row>
    <row r="10" spans="1:9">
      <c r="A10" s="11" t="s">
        <v>53</v>
      </c>
      <c r="B10" s="11" t="s">
        <v>12</v>
      </c>
      <c r="C10" s="11">
        <v>111295</v>
      </c>
      <c r="D10" s="11">
        <v>69839</v>
      </c>
      <c r="E10" s="11">
        <f>SUM(C10:D10)</f>
        <v>181134</v>
      </c>
      <c r="G10" s="11">
        <v>24578</v>
      </c>
      <c r="H10" s="11">
        <v>55070</v>
      </c>
      <c r="I10" s="11">
        <f>SUM(G10:H10)</f>
        <v>79648</v>
      </c>
    </row>
    <row r="11" spans="1:9">
      <c r="A11" s="11" t="s">
        <v>53</v>
      </c>
      <c r="B11" s="11" t="s">
        <v>13</v>
      </c>
      <c r="C11" s="11">
        <v>1334</v>
      </c>
      <c r="D11" s="11">
        <v>1746</v>
      </c>
      <c r="E11" s="11">
        <f>SUM(C11:D11)</f>
        <v>3080</v>
      </c>
      <c r="G11" s="11">
        <v>270</v>
      </c>
      <c r="H11" s="11">
        <v>1139</v>
      </c>
      <c r="I11" s="11">
        <f>SUM(G11:H11)</f>
        <v>1409</v>
      </c>
    </row>
    <row r="12" spans="1:9">
      <c r="A12" s="11" t="s">
        <v>53</v>
      </c>
      <c r="B12" s="11" t="s">
        <v>14</v>
      </c>
      <c r="C12" s="11">
        <v>32725</v>
      </c>
      <c r="D12" s="11">
        <v>56464</v>
      </c>
      <c r="E12" s="11">
        <f>SUM(C12:D12)</f>
        <v>89189</v>
      </c>
      <c r="G12" s="11">
        <v>7427</v>
      </c>
      <c r="H12" s="11">
        <v>54984</v>
      </c>
      <c r="I12" s="11">
        <f>SUM(G12:H12)</f>
        <v>62411</v>
      </c>
    </row>
    <row r="13" spans="1:9">
      <c r="A13" s="11" t="s">
        <v>53</v>
      </c>
      <c r="B13" s="11" t="s">
        <v>15</v>
      </c>
      <c r="C13" s="11">
        <v>2526</v>
      </c>
      <c r="D13" s="11">
        <v>9369</v>
      </c>
      <c r="E13" s="11">
        <f>SUM(C13:D13)</f>
        <v>11895</v>
      </c>
      <c r="G13" s="11">
        <v>171</v>
      </c>
      <c r="H13" s="11">
        <v>1770</v>
      </c>
      <c r="I13" s="11">
        <f>SUM(G13:H13)</f>
        <v>1941</v>
      </c>
    </row>
    <row r="14" spans="1:9">
      <c r="A14" s="11" t="s">
        <v>53</v>
      </c>
      <c r="B14" s="11" t="s">
        <v>16</v>
      </c>
      <c r="C14" s="11">
        <v>132627</v>
      </c>
      <c r="D14" s="11">
        <v>106629</v>
      </c>
      <c r="E14" s="11">
        <f>SUM(C14:D14)</f>
        <v>239256</v>
      </c>
      <c r="G14" s="11">
        <v>41762</v>
      </c>
      <c r="H14" s="11">
        <v>97100</v>
      </c>
      <c r="I14" s="11">
        <f>SUM(G14:H14)</f>
        <v>138862</v>
      </c>
    </row>
    <row r="15" spans="1:9">
      <c r="A15" s="11" t="s">
        <v>53</v>
      </c>
      <c r="B15" s="11" t="s">
        <v>17</v>
      </c>
      <c r="C15" s="11">
        <v>53434</v>
      </c>
      <c r="D15" s="11">
        <v>40772</v>
      </c>
      <c r="E15" s="11">
        <f>SUM(C15:D15)</f>
        <v>94206</v>
      </c>
      <c r="G15" s="11">
        <v>35616</v>
      </c>
      <c r="H15" s="11">
        <v>107772</v>
      </c>
      <c r="I15" s="11">
        <f>SUM(G15:H15)</f>
        <v>143388</v>
      </c>
    </row>
    <row r="16" spans="1:9">
      <c r="A16" s="11" t="s">
        <v>53</v>
      </c>
      <c r="B16" s="11" t="s">
        <v>18</v>
      </c>
      <c r="C16" s="11">
        <v>40390</v>
      </c>
      <c r="D16" s="11">
        <v>26864</v>
      </c>
      <c r="E16" s="11">
        <f>SUM(C16:D16)</f>
        <v>67254</v>
      </c>
      <c r="G16" s="11">
        <v>7800</v>
      </c>
      <c r="H16" s="11">
        <v>25083</v>
      </c>
      <c r="I16" s="11">
        <f>SUM(G16:H16)</f>
        <v>32883</v>
      </c>
    </row>
    <row r="17" spans="1:9">
      <c r="A17" s="11" t="s">
        <v>53</v>
      </c>
      <c r="B17" s="11" t="s">
        <v>19</v>
      </c>
      <c r="C17" s="11">
        <v>61570</v>
      </c>
      <c r="D17" s="11">
        <v>36791</v>
      </c>
      <c r="E17" s="11">
        <f>SUM(C17:D17)</f>
        <v>98361</v>
      </c>
      <c r="G17" s="11">
        <v>25209</v>
      </c>
      <c r="H17" s="11">
        <v>43536</v>
      </c>
      <c r="I17" s="11">
        <f>SUM(G17:H17)</f>
        <v>68745</v>
      </c>
    </row>
    <row r="18" spans="1:9">
      <c r="A18" s="11" t="s">
        <v>53</v>
      </c>
      <c r="B18" s="11" t="s">
        <v>20</v>
      </c>
      <c r="C18" s="11">
        <v>86567</v>
      </c>
      <c r="D18" s="11">
        <v>37566</v>
      </c>
      <c r="E18" s="11">
        <f>SUM(C18:D18)</f>
        <v>124133</v>
      </c>
      <c r="G18" s="11">
        <v>40730</v>
      </c>
      <c r="H18" s="11">
        <v>45555</v>
      </c>
      <c r="I18" s="11">
        <f>SUM(G18:H18)</f>
        <v>86285</v>
      </c>
    </row>
    <row r="19" spans="1:9">
      <c r="A19" s="11" t="s">
        <v>53</v>
      </c>
      <c r="B19" s="11" t="s">
        <v>21</v>
      </c>
      <c r="C19" s="11">
        <v>128386</v>
      </c>
      <c r="D19" s="11">
        <v>113443</v>
      </c>
      <c r="E19" s="11">
        <f>SUM(C19:D19)</f>
        <v>241829</v>
      </c>
      <c r="G19" s="11">
        <v>51796</v>
      </c>
      <c r="H19" s="11">
        <v>137761</v>
      </c>
      <c r="I19" s="11">
        <f>SUM(G19:H19)</f>
        <v>189557</v>
      </c>
    </row>
    <row r="20" spans="1:9">
      <c r="A20" s="11" t="s">
        <v>53</v>
      </c>
      <c r="B20" s="11" t="s">
        <v>22</v>
      </c>
      <c r="C20" s="11">
        <v>48151</v>
      </c>
      <c r="D20" s="11">
        <v>144983</v>
      </c>
      <c r="E20" s="11">
        <f>SUM(C20:D20)</f>
        <v>193134</v>
      </c>
      <c r="G20" s="11">
        <v>7037</v>
      </c>
      <c r="H20" s="11">
        <v>68302</v>
      </c>
      <c r="I20" s="11">
        <f>SUM(G20:H20)</f>
        <v>75339</v>
      </c>
    </row>
    <row r="21" spans="1:9">
      <c r="A21" s="11" t="s">
        <v>53</v>
      </c>
      <c r="B21" s="11" t="s">
        <v>23</v>
      </c>
      <c r="C21" s="11">
        <v>2498</v>
      </c>
      <c r="D21" s="11">
        <v>2064</v>
      </c>
      <c r="E21" s="11">
        <f>SUM(C21:D21)</f>
        <v>4562</v>
      </c>
      <c r="G21" s="11">
        <v>535</v>
      </c>
      <c r="H21" s="11">
        <v>1058</v>
      </c>
      <c r="I21" s="11">
        <f>SUM(G21:H21)</f>
        <v>1593</v>
      </c>
    </row>
    <row r="22" spans="1:9">
      <c r="A22" s="11" t="s">
        <v>53</v>
      </c>
      <c r="B22" s="11" t="s">
        <v>24</v>
      </c>
      <c r="C22" s="11">
        <v>383</v>
      </c>
      <c r="D22" s="11">
        <v>423</v>
      </c>
      <c r="E22" s="11">
        <f>SUM(C22:D22)</f>
        <v>806</v>
      </c>
      <c r="G22" s="11">
        <v>0</v>
      </c>
      <c r="H22" s="11">
        <v>0</v>
      </c>
      <c r="I22" s="11">
        <f>SUM(G22:H22)</f>
        <v>0</v>
      </c>
    </row>
    <row r="23" spans="1:9">
      <c r="A23" s="11" t="s">
        <v>53</v>
      </c>
      <c r="B23" s="11" t="s">
        <v>25</v>
      </c>
      <c r="C23" s="11">
        <v>202052</v>
      </c>
      <c r="D23" s="11">
        <v>106474</v>
      </c>
      <c r="E23" s="11">
        <f>SUM(C23:D23)</f>
        <v>308526</v>
      </c>
      <c r="G23" s="11">
        <v>115929</v>
      </c>
      <c r="H23" s="11">
        <v>176753</v>
      </c>
      <c r="I23" s="11">
        <f>SUM(G23:H23)</f>
        <v>292682</v>
      </c>
    </row>
    <row r="24" spans="1:9">
      <c r="A24" s="11" t="s">
        <v>53</v>
      </c>
      <c r="B24" s="11" t="s">
        <v>26</v>
      </c>
      <c r="C24" s="11">
        <v>331751</v>
      </c>
      <c r="D24" s="11">
        <v>197506</v>
      </c>
      <c r="E24" s="11">
        <f>SUM(C24:D24)</f>
        <v>529257</v>
      </c>
      <c r="G24" s="11">
        <v>54445</v>
      </c>
      <c r="H24" s="11">
        <v>164887</v>
      </c>
      <c r="I24" s="11">
        <f>SUM(G24:H24)</f>
        <v>219332</v>
      </c>
    </row>
    <row r="25" spans="1:9">
      <c r="A25" s="11" t="s">
        <v>53</v>
      </c>
      <c r="B25" s="11" t="s">
        <v>27</v>
      </c>
      <c r="C25" s="11">
        <v>10160</v>
      </c>
      <c r="D25" s="11">
        <v>10493</v>
      </c>
      <c r="E25" s="11">
        <f>SUM(C25:D25)</f>
        <v>20653</v>
      </c>
      <c r="G25" s="11">
        <v>9344</v>
      </c>
      <c r="H25" s="11">
        <v>12687</v>
      </c>
      <c r="I25" s="11">
        <f>SUM(G25:H25)</f>
        <v>22031</v>
      </c>
    </row>
    <row r="26" spans="1:9">
      <c r="A26" s="11" t="s">
        <v>53</v>
      </c>
      <c r="B26" s="11" t="s">
        <v>28</v>
      </c>
      <c r="C26" s="11">
        <v>18785</v>
      </c>
      <c r="D26" s="11">
        <v>21774</v>
      </c>
      <c r="E26" s="11">
        <f>SUM(C26:D26)</f>
        <v>40559</v>
      </c>
      <c r="G26" s="11">
        <v>4148</v>
      </c>
      <c r="H26" s="11">
        <v>10453</v>
      </c>
      <c r="I26" s="11">
        <f>SUM(G26:H26)</f>
        <v>14601</v>
      </c>
    </row>
    <row r="27" spans="1:9">
      <c r="A27" s="11" t="s">
        <v>53</v>
      </c>
      <c r="B27" s="11" t="s">
        <v>29</v>
      </c>
      <c r="C27" s="11">
        <v>8834</v>
      </c>
      <c r="D27" s="11">
        <v>6617</v>
      </c>
      <c r="E27" s="11">
        <f>SUM(C27:D27)</f>
        <v>15451</v>
      </c>
      <c r="G27" s="11">
        <v>3522</v>
      </c>
      <c r="H27" s="11">
        <v>4393</v>
      </c>
      <c r="I27" s="11">
        <f>SUM(G27:H27)</f>
        <v>7915</v>
      </c>
    </row>
    <row r="28" spans="1:9">
      <c r="A28" s="11" t="s">
        <v>53</v>
      </c>
      <c r="B28" s="11" t="s">
        <v>30</v>
      </c>
      <c r="C28" s="11">
        <v>9608</v>
      </c>
      <c r="D28" s="11">
        <v>9449</v>
      </c>
      <c r="E28" s="11">
        <f>SUM(C28:D28)</f>
        <v>19057</v>
      </c>
      <c r="G28" s="11">
        <v>4346</v>
      </c>
      <c r="H28" s="11">
        <v>7999</v>
      </c>
      <c r="I28" s="11">
        <f>SUM(G28:H28)</f>
        <v>12345</v>
      </c>
    </row>
    <row r="29" spans="1:9">
      <c r="A29" s="11" t="s">
        <v>53</v>
      </c>
      <c r="B29" s="11" t="s">
        <v>31</v>
      </c>
      <c r="C29" s="11">
        <v>144069</v>
      </c>
      <c r="D29" s="11">
        <v>99496</v>
      </c>
      <c r="E29" s="11">
        <f>SUM(C29:D29)</f>
        <v>243565</v>
      </c>
      <c r="G29" s="11">
        <v>33373</v>
      </c>
      <c r="H29" s="11">
        <v>54398</v>
      </c>
      <c r="I29" s="11">
        <f>SUM(G29:H29)</f>
        <v>87771</v>
      </c>
    </row>
    <row r="30" spans="1:9">
      <c r="A30" s="11" t="s">
        <v>53</v>
      </c>
      <c r="B30" s="11" t="s">
        <v>32</v>
      </c>
      <c r="C30" s="11">
        <v>1717</v>
      </c>
      <c r="D30" s="11">
        <v>3876</v>
      </c>
      <c r="E30" s="11">
        <f>SUM(C30:D30)</f>
        <v>5593</v>
      </c>
      <c r="G30" s="11">
        <v>1364</v>
      </c>
      <c r="H30" s="11">
        <v>5398</v>
      </c>
      <c r="I30" s="11">
        <f>SUM(G30:H30)</f>
        <v>6762</v>
      </c>
    </row>
    <row r="31" spans="1:9">
      <c r="A31" s="11" t="s">
        <v>53</v>
      </c>
      <c r="B31" s="11" t="s">
        <v>33</v>
      </c>
      <c r="C31" s="11">
        <v>45420</v>
      </c>
      <c r="D31" s="11">
        <v>81007</v>
      </c>
      <c r="E31" s="11">
        <f>SUM(C31:D31)</f>
        <v>126427</v>
      </c>
      <c r="G31" s="11">
        <v>18281</v>
      </c>
      <c r="H31" s="11">
        <v>112426</v>
      </c>
      <c r="I31" s="11">
        <f>SUM(G31:H31)</f>
        <v>130707</v>
      </c>
    </row>
    <row r="32" spans="1:9">
      <c r="A32" s="11" t="s">
        <v>53</v>
      </c>
      <c r="B32" s="11" t="s">
        <v>34</v>
      </c>
      <c r="C32" s="11">
        <v>259077</v>
      </c>
      <c r="D32" s="11">
        <v>131794</v>
      </c>
      <c r="E32" s="11">
        <f>SUM(C32:D32)</f>
        <v>390871</v>
      </c>
      <c r="G32" s="11">
        <v>178098</v>
      </c>
      <c r="H32" s="11">
        <v>155556</v>
      </c>
      <c r="I32" s="11">
        <f>SUM(G32:H32)</f>
        <v>333654</v>
      </c>
    </row>
    <row r="33" spans="1:9">
      <c r="A33" s="11" t="s">
        <v>53</v>
      </c>
      <c r="B33" s="11" t="s">
        <v>35</v>
      </c>
      <c r="C33" s="11">
        <v>4495</v>
      </c>
      <c r="D33" s="11">
        <v>5595</v>
      </c>
      <c r="E33" s="11">
        <f>SUM(C33:D33)</f>
        <v>10090</v>
      </c>
      <c r="G33" s="11">
        <v>948</v>
      </c>
      <c r="H33" s="11">
        <v>2575</v>
      </c>
      <c r="I33" s="11">
        <f>SUM(G33:H33)</f>
        <v>3523</v>
      </c>
    </row>
    <row r="34" spans="1:9">
      <c r="A34" s="11" t="s">
        <v>53</v>
      </c>
      <c r="B34" s="11" t="s">
        <v>36</v>
      </c>
      <c r="C34" s="11">
        <v>102621</v>
      </c>
      <c r="D34" s="11">
        <v>205515</v>
      </c>
      <c r="E34" s="11">
        <f>SUM(C34:D34)</f>
        <v>308136</v>
      </c>
      <c r="G34" s="11">
        <v>39696</v>
      </c>
      <c r="H34" s="11">
        <v>222088</v>
      </c>
      <c r="I34" s="11">
        <f>SUM(G34:H34)</f>
        <v>261784</v>
      </c>
    </row>
    <row r="35" spans="1:9">
      <c r="A35" s="11" t="s">
        <v>53</v>
      </c>
      <c r="B35" s="11" t="s">
        <v>37</v>
      </c>
      <c r="C35" s="11">
        <v>75573</v>
      </c>
      <c r="D35" s="11">
        <v>68059</v>
      </c>
      <c r="E35" s="11">
        <f>SUM(C35:D35)</f>
        <v>143632</v>
      </c>
      <c r="G35" s="11">
        <v>50906</v>
      </c>
      <c r="H35" s="11">
        <v>126356</v>
      </c>
      <c r="I35" s="11">
        <f>SUM(G35:H35)</f>
        <v>177262</v>
      </c>
    </row>
    <row r="36" spans="1:9">
      <c r="A36" s="11" t="s">
        <v>53</v>
      </c>
      <c r="B36" s="11" t="s">
        <v>38</v>
      </c>
      <c r="C36" s="11">
        <v>19860</v>
      </c>
      <c r="D36" s="11">
        <v>9306</v>
      </c>
      <c r="E36" s="11">
        <f>SUM(C36:D36)</f>
        <v>29166</v>
      </c>
      <c r="G36" s="11">
        <v>3839</v>
      </c>
      <c r="H36" s="11">
        <v>3428</v>
      </c>
      <c r="I36" s="11">
        <f>SUM(G36:H36)</f>
        <v>7267</v>
      </c>
    </row>
    <row r="37" spans="1:9">
      <c r="A37" s="11" t="s">
        <v>53</v>
      </c>
      <c r="B37" s="11" t="s">
        <v>39</v>
      </c>
      <c r="C37" s="11">
        <v>393936</v>
      </c>
      <c r="D37" s="11">
        <v>331508</v>
      </c>
      <c r="E37" s="11">
        <f>SUM(C37:D37)</f>
        <v>725444</v>
      </c>
      <c r="G37" s="11">
        <v>425137</v>
      </c>
      <c r="H37" s="11">
        <v>357247</v>
      </c>
      <c r="I37" s="11">
        <f>SUM(G37:H37)</f>
        <v>782384</v>
      </c>
    </row>
    <row r="38" spans="1:9">
      <c r="A38" s="11" t="s">
        <v>53</v>
      </c>
      <c r="B38" s="11" t="s">
        <v>40</v>
      </c>
      <c r="C38" s="11">
        <v>37669</v>
      </c>
      <c r="D38" s="11">
        <v>26855</v>
      </c>
      <c r="E38" s="11">
        <f>SUM(C38:D38)</f>
        <v>64524</v>
      </c>
      <c r="G38" s="11">
        <v>17779</v>
      </c>
      <c r="H38" s="11">
        <v>40909</v>
      </c>
      <c r="I38" s="11">
        <f>SUM(G38:H38)</f>
        <v>58688</v>
      </c>
    </row>
    <row r="39" spans="1:9">
      <c r="A39" s="11" t="s">
        <v>53</v>
      </c>
      <c r="B39" s="11" t="s">
        <v>41</v>
      </c>
      <c r="C39" s="11">
        <v>285045</v>
      </c>
      <c r="D39" s="11">
        <v>190841</v>
      </c>
      <c r="E39" s="11">
        <f>SUM(C39:D39)</f>
        <v>475886</v>
      </c>
      <c r="G39" s="11">
        <v>42892</v>
      </c>
      <c r="H39" s="11">
        <v>62909</v>
      </c>
      <c r="I39" s="11">
        <f>SUM(G39:H39)</f>
        <v>105801</v>
      </c>
    </row>
    <row r="41" spans="1:9">
      <c r="A41" s="11" t="s">
        <v>54</v>
      </c>
      <c r="B41" s="16" t="s">
        <v>6</v>
      </c>
      <c r="C41" s="11">
        <v>1686</v>
      </c>
      <c r="D41" s="11">
        <v>2815</v>
      </c>
      <c r="E41" s="11">
        <f>SUM(C41:D41)</f>
        <v>4501</v>
      </c>
      <c r="G41" s="11">
        <v>211</v>
      </c>
      <c r="H41" s="11">
        <v>973</v>
      </c>
      <c r="I41" s="11">
        <f>SUM(G41:H41)</f>
        <v>1184</v>
      </c>
    </row>
    <row r="42" spans="1:9">
      <c r="A42" s="11" t="s">
        <v>54</v>
      </c>
      <c r="B42" s="11" t="s">
        <v>7</v>
      </c>
      <c r="C42" s="11">
        <v>106940</v>
      </c>
      <c r="D42" s="11">
        <v>90759</v>
      </c>
      <c r="E42" s="11">
        <f>SUM(C42:D42)</f>
        <v>197699</v>
      </c>
      <c r="G42" s="11">
        <v>48221</v>
      </c>
      <c r="H42" s="11">
        <v>77301</v>
      </c>
      <c r="I42" s="11">
        <f>SUM(G42:H42)</f>
        <v>125522</v>
      </c>
    </row>
    <row r="43" spans="1:9">
      <c r="A43" s="11" t="s">
        <v>54</v>
      </c>
      <c r="B43" s="11" t="s">
        <v>8</v>
      </c>
      <c r="C43" s="11">
        <v>9600</v>
      </c>
      <c r="D43" s="11">
        <v>7879</v>
      </c>
      <c r="E43" s="11">
        <f>SUM(C43:D43)</f>
        <v>17479</v>
      </c>
      <c r="G43" s="11">
        <v>2358</v>
      </c>
      <c r="H43" s="11">
        <v>3917</v>
      </c>
      <c r="I43" s="11">
        <f>SUM(G43:H43)</f>
        <v>6275</v>
      </c>
    </row>
    <row r="44" spans="1:9">
      <c r="A44" s="11" t="s">
        <v>54</v>
      </c>
      <c r="B44" s="11" t="s">
        <v>9</v>
      </c>
      <c r="C44" s="11">
        <v>154376</v>
      </c>
      <c r="D44" s="11">
        <v>94089</v>
      </c>
      <c r="E44" s="11">
        <f>SUM(C44:D44)</f>
        <v>248465</v>
      </c>
      <c r="G44" s="11">
        <v>48574</v>
      </c>
      <c r="H44" s="11">
        <v>54488</v>
      </c>
      <c r="I44" s="11">
        <f>SUM(G44:H44)</f>
        <v>103062</v>
      </c>
    </row>
    <row r="45" spans="1:9">
      <c r="A45" s="11" t="s">
        <v>54</v>
      </c>
      <c r="B45" s="11" t="s">
        <v>10</v>
      </c>
      <c r="C45" s="11">
        <v>250559</v>
      </c>
      <c r="D45" s="11">
        <v>170553</v>
      </c>
      <c r="E45" s="11">
        <f>SUM(C45:D45)</f>
        <v>421112</v>
      </c>
      <c r="G45" s="11">
        <v>94029</v>
      </c>
      <c r="H45" s="11">
        <v>67882</v>
      </c>
      <c r="I45" s="11">
        <f>SUM(G45:H45)</f>
        <v>161911</v>
      </c>
    </row>
    <row r="46" spans="1:9">
      <c r="A46" s="11" t="s">
        <v>54</v>
      </c>
      <c r="B46" s="11" t="s">
        <v>11</v>
      </c>
      <c r="C46" s="11">
        <v>1472</v>
      </c>
      <c r="D46" s="11">
        <v>3769</v>
      </c>
      <c r="E46" s="11">
        <f>SUM(C46:D46)</f>
        <v>5241</v>
      </c>
      <c r="G46" s="11">
        <v>372</v>
      </c>
      <c r="H46" s="11">
        <v>4036</v>
      </c>
      <c r="I46" s="11">
        <f>SUM(G46:H46)</f>
        <v>4408</v>
      </c>
    </row>
    <row r="47" spans="1:9">
      <c r="A47" s="11" t="s">
        <v>54</v>
      </c>
      <c r="B47" s="11" t="s">
        <v>12</v>
      </c>
      <c r="C47" s="11">
        <v>111267</v>
      </c>
      <c r="D47" s="11">
        <v>71791</v>
      </c>
      <c r="E47" s="11">
        <f>SUM(C47:D47)</f>
        <v>183058</v>
      </c>
      <c r="G47" s="11">
        <v>23553</v>
      </c>
      <c r="H47" s="11">
        <v>58744</v>
      </c>
      <c r="I47" s="11">
        <f>SUM(G47:H47)</f>
        <v>82297</v>
      </c>
    </row>
    <row r="48" spans="1:9">
      <c r="A48" s="11" t="s">
        <v>54</v>
      </c>
      <c r="B48" s="11" t="s">
        <v>13</v>
      </c>
      <c r="C48" s="11">
        <v>1270</v>
      </c>
      <c r="D48" s="11">
        <v>1774</v>
      </c>
      <c r="E48" s="11">
        <f>SUM(C48:D48)</f>
        <v>3044</v>
      </c>
      <c r="G48" s="11">
        <v>264</v>
      </c>
      <c r="H48" s="11">
        <v>1237</v>
      </c>
      <c r="I48" s="11">
        <f>SUM(G48:H48)</f>
        <v>1501</v>
      </c>
    </row>
    <row r="49" spans="1:9">
      <c r="A49" s="11" t="s">
        <v>54</v>
      </c>
      <c r="B49" s="11" t="s">
        <v>14</v>
      </c>
      <c r="C49" s="11">
        <v>34218</v>
      </c>
      <c r="D49" s="11">
        <v>56138</v>
      </c>
      <c r="E49" s="11">
        <f>SUM(C49:D49)</f>
        <v>90356</v>
      </c>
      <c r="G49" s="11">
        <v>7813</v>
      </c>
      <c r="H49" s="11">
        <v>57869</v>
      </c>
      <c r="I49" s="11">
        <f>SUM(G49:H49)</f>
        <v>65682</v>
      </c>
    </row>
    <row r="50" spans="1:9">
      <c r="A50" s="11" t="s">
        <v>54</v>
      </c>
      <c r="B50" s="11" t="s">
        <v>15</v>
      </c>
      <c r="C50" s="11">
        <v>2555</v>
      </c>
      <c r="D50" s="11">
        <v>9753</v>
      </c>
      <c r="E50" s="11">
        <f>SUM(C50:D50)</f>
        <v>12308</v>
      </c>
      <c r="G50" s="11">
        <v>165</v>
      </c>
      <c r="H50" s="11">
        <v>1901</v>
      </c>
      <c r="I50" s="11">
        <f>SUM(G50:H50)</f>
        <v>2066</v>
      </c>
    </row>
    <row r="51" spans="1:9">
      <c r="A51" s="11" t="s">
        <v>54</v>
      </c>
      <c r="B51" s="11" t="s">
        <v>16</v>
      </c>
      <c r="C51" s="11">
        <v>130758</v>
      </c>
      <c r="D51" s="11">
        <v>107737</v>
      </c>
      <c r="E51" s="11">
        <f>SUM(C51:D51)</f>
        <v>238495</v>
      </c>
      <c r="G51" s="11">
        <v>41925</v>
      </c>
      <c r="H51" s="11">
        <v>104034</v>
      </c>
      <c r="I51" s="11">
        <f>SUM(G51:H51)</f>
        <v>145959</v>
      </c>
    </row>
    <row r="52" spans="1:9">
      <c r="A52" s="11" t="s">
        <v>54</v>
      </c>
      <c r="B52" s="11" t="s">
        <v>17</v>
      </c>
      <c r="C52" s="11">
        <v>51812</v>
      </c>
      <c r="D52" s="11">
        <v>39557</v>
      </c>
      <c r="E52" s="11">
        <f>SUM(C52:D52)</f>
        <v>91369</v>
      </c>
      <c r="G52" s="11">
        <v>35425</v>
      </c>
      <c r="H52" s="11">
        <v>112462</v>
      </c>
      <c r="I52" s="11">
        <f>SUM(G52:H52)</f>
        <v>147887</v>
      </c>
    </row>
    <row r="53" spans="1:9">
      <c r="A53" s="11" t="s">
        <v>54</v>
      </c>
      <c r="B53" s="11" t="s">
        <v>18</v>
      </c>
      <c r="C53" s="11">
        <v>40350</v>
      </c>
      <c r="D53" s="11">
        <v>27541</v>
      </c>
      <c r="E53" s="11">
        <f>SUM(C53:D53)</f>
        <v>67891</v>
      </c>
      <c r="G53" s="11">
        <v>7794</v>
      </c>
      <c r="H53" s="11">
        <v>26008</v>
      </c>
      <c r="I53" s="11">
        <f>SUM(G53:H53)</f>
        <v>33802</v>
      </c>
    </row>
    <row r="54" spans="1:9">
      <c r="A54" s="11" t="s">
        <v>54</v>
      </c>
      <c r="B54" s="11" t="s">
        <v>19</v>
      </c>
      <c r="C54" s="11">
        <v>61116</v>
      </c>
      <c r="D54" s="11">
        <v>36491</v>
      </c>
      <c r="E54" s="11">
        <f>SUM(C54:D54)</f>
        <v>97607</v>
      </c>
      <c r="G54" s="11">
        <v>24485</v>
      </c>
      <c r="H54" s="11">
        <v>44135</v>
      </c>
      <c r="I54" s="11">
        <f>SUM(G54:H54)</f>
        <v>68620</v>
      </c>
    </row>
    <row r="55" spans="1:9">
      <c r="A55" s="11" t="s">
        <v>54</v>
      </c>
      <c r="B55" s="11" t="s">
        <v>20</v>
      </c>
      <c r="C55" s="11">
        <v>85434</v>
      </c>
      <c r="D55" s="11">
        <v>37633</v>
      </c>
      <c r="E55" s="11">
        <f>SUM(C55:D55)</f>
        <v>123067</v>
      </c>
      <c r="G55" s="11">
        <v>39623</v>
      </c>
      <c r="H55" s="11">
        <v>45910</v>
      </c>
      <c r="I55" s="11">
        <f>SUM(G55:H55)</f>
        <v>85533</v>
      </c>
    </row>
    <row r="56" spans="1:9">
      <c r="A56" s="11" t="s">
        <v>54</v>
      </c>
      <c r="B56" s="11" t="s">
        <v>21</v>
      </c>
      <c r="C56" s="11">
        <v>125238</v>
      </c>
      <c r="D56" s="11">
        <v>113062</v>
      </c>
      <c r="E56" s="11">
        <f>SUM(C56:D56)</f>
        <v>238300</v>
      </c>
      <c r="G56" s="11">
        <v>51206</v>
      </c>
      <c r="H56" s="11">
        <v>149560</v>
      </c>
      <c r="I56" s="11">
        <f>SUM(G56:H56)</f>
        <v>200766</v>
      </c>
    </row>
    <row r="57" spans="1:9">
      <c r="A57" s="11" t="s">
        <v>54</v>
      </c>
      <c r="B57" s="11" t="s">
        <v>22</v>
      </c>
      <c r="C57" s="11">
        <v>47819</v>
      </c>
      <c r="D57" s="11">
        <v>150392</v>
      </c>
      <c r="E57" s="11">
        <f>SUM(C57:D57)</f>
        <v>198211</v>
      </c>
      <c r="G57" s="11">
        <v>7152</v>
      </c>
      <c r="H57" s="11">
        <v>70943</v>
      </c>
      <c r="I57" s="11">
        <f>SUM(G57:H57)</f>
        <v>78095</v>
      </c>
    </row>
    <row r="58" spans="1:9">
      <c r="A58" s="11" t="s">
        <v>54</v>
      </c>
      <c r="B58" s="11" t="s">
        <v>23</v>
      </c>
      <c r="C58" s="11">
        <v>2457</v>
      </c>
      <c r="D58" s="11">
        <v>2097</v>
      </c>
      <c r="E58" s="11">
        <f>SUM(C58:D58)</f>
        <v>4554</v>
      </c>
      <c r="G58" s="11">
        <v>526</v>
      </c>
      <c r="H58" s="11">
        <v>1125</v>
      </c>
      <c r="I58" s="11">
        <f>SUM(G58:H58)</f>
        <v>1651</v>
      </c>
    </row>
    <row r="59" spans="1:9">
      <c r="A59" s="11" t="s">
        <v>54</v>
      </c>
      <c r="B59" s="11" t="s">
        <v>24</v>
      </c>
      <c r="C59" s="11">
        <v>378</v>
      </c>
      <c r="D59" s="11">
        <v>437</v>
      </c>
      <c r="E59" s="11">
        <f>SUM(C59:D59)</f>
        <v>815</v>
      </c>
      <c r="G59" s="11">
        <v>0</v>
      </c>
      <c r="H59" s="11">
        <v>0</v>
      </c>
      <c r="I59" s="11">
        <f>SUM(G59:H59)</f>
        <v>0</v>
      </c>
    </row>
    <row r="60" spans="1:9">
      <c r="A60" s="11" t="s">
        <v>54</v>
      </c>
      <c r="B60" s="11" t="s">
        <v>25</v>
      </c>
      <c r="C60" s="11">
        <v>198510</v>
      </c>
      <c r="D60" s="11">
        <v>108493</v>
      </c>
      <c r="E60" s="11">
        <f>SUM(C60:D60)</f>
        <v>307003</v>
      </c>
      <c r="G60" s="11">
        <v>104344</v>
      </c>
      <c r="H60" s="11">
        <v>185619</v>
      </c>
      <c r="I60" s="11">
        <f>SUM(G60:H60)</f>
        <v>289963</v>
      </c>
    </row>
    <row r="61" spans="1:9">
      <c r="A61" s="11" t="s">
        <v>54</v>
      </c>
      <c r="B61" s="11" t="s">
        <v>26</v>
      </c>
      <c r="C61" s="11">
        <v>321399</v>
      </c>
      <c r="D61" s="11">
        <v>194747</v>
      </c>
      <c r="E61" s="11">
        <f>SUM(C61:D61)</f>
        <v>516146</v>
      </c>
      <c r="G61" s="11">
        <v>52391</v>
      </c>
      <c r="H61" s="11">
        <v>173779</v>
      </c>
      <c r="I61" s="11">
        <f>SUM(G61:H61)</f>
        <v>226170</v>
      </c>
    </row>
    <row r="62" spans="1:9">
      <c r="A62" s="11" t="s">
        <v>54</v>
      </c>
      <c r="B62" s="11" t="s">
        <v>27</v>
      </c>
      <c r="C62" s="11">
        <v>9624</v>
      </c>
      <c r="D62" s="11">
        <v>10185</v>
      </c>
      <c r="E62" s="11">
        <f>SUM(C62:D62)</f>
        <v>19809</v>
      </c>
      <c r="G62" s="11">
        <v>8599</v>
      </c>
      <c r="H62" s="11">
        <v>12036</v>
      </c>
      <c r="I62" s="11">
        <f>SUM(G62:H62)</f>
        <v>20635</v>
      </c>
    </row>
    <row r="63" spans="1:9">
      <c r="A63" s="11" t="s">
        <v>54</v>
      </c>
      <c r="B63" s="11" t="s">
        <v>28</v>
      </c>
      <c r="C63" s="11">
        <v>18607</v>
      </c>
      <c r="D63" s="11">
        <v>21860</v>
      </c>
      <c r="E63" s="11">
        <f>SUM(C63:D63)</f>
        <v>40467</v>
      </c>
      <c r="G63" s="11">
        <v>4139</v>
      </c>
      <c r="H63" s="11">
        <v>10696</v>
      </c>
      <c r="I63" s="11">
        <f>SUM(G63:H63)</f>
        <v>14835</v>
      </c>
    </row>
    <row r="64" spans="1:9">
      <c r="A64" s="11" t="s">
        <v>54</v>
      </c>
      <c r="B64" s="11" t="s">
        <v>29</v>
      </c>
      <c r="C64" s="11">
        <v>8530</v>
      </c>
      <c r="D64" s="11">
        <v>6730</v>
      </c>
      <c r="E64" s="11">
        <f>SUM(C64:D64)</f>
        <v>15260</v>
      </c>
      <c r="G64" s="11">
        <v>3183</v>
      </c>
      <c r="H64" s="11">
        <v>4276</v>
      </c>
      <c r="I64" s="11">
        <f>SUM(G64:H64)</f>
        <v>7459</v>
      </c>
    </row>
    <row r="65" spans="1:9">
      <c r="A65" s="11" t="s">
        <v>54</v>
      </c>
      <c r="B65" s="11" t="s">
        <v>30</v>
      </c>
      <c r="C65" s="11">
        <v>9322</v>
      </c>
      <c r="D65" s="11">
        <v>9406</v>
      </c>
      <c r="E65" s="11">
        <f>SUM(C65:D65)</f>
        <v>18728</v>
      </c>
      <c r="G65" s="11">
        <v>4488</v>
      </c>
      <c r="H65" s="11">
        <v>8834</v>
      </c>
      <c r="I65" s="11">
        <f>SUM(G65:H65)</f>
        <v>13322</v>
      </c>
    </row>
    <row r="66" spans="1:9">
      <c r="A66" s="11" t="s">
        <v>54</v>
      </c>
      <c r="B66" s="11" t="s">
        <v>31</v>
      </c>
      <c r="C66" s="11">
        <v>143823</v>
      </c>
      <c r="D66" s="11">
        <v>101777</v>
      </c>
      <c r="E66" s="11">
        <f>SUM(C66:D66)</f>
        <v>245600</v>
      </c>
      <c r="G66" s="11">
        <v>32873</v>
      </c>
      <c r="H66" s="11">
        <v>55967</v>
      </c>
      <c r="I66" s="11">
        <f>SUM(G66:H66)</f>
        <v>88840</v>
      </c>
    </row>
    <row r="67" spans="1:9">
      <c r="A67" s="11" t="s">
        <v>54</v>
      </c>
      <c r="B67" s="11" t="s">
        <v>32</v>
      </c>
      <c r="C67" s="11">
        <v>1678</v>
      </c>
      <c r="D67" s="11">
        <v>3974</v>
      </c>
      <c r="E67" s="11">
        <f>SUM(C67:D67)</f>
        <v>5652</v>
      </c>
      <c r="G67" s="11">
        <v>1385</v>
      </c>
      <c r="H67" s="11">
        <v>5731</v>
      </c>
      <c r="I67" s="11">
        <f>SUM(G67:H67)</f>
        <v>7116</v>
      </c>
    </row>
    <row r="68" spans="1:9">
      <c r="A68" s="11" t="s">
        <v>54</v>
      </c>
      <c r="B68" s="11" t="s">
        <v>33</v>
      </c>
      <c r="C68" s="11">
        <v>45982</v>
      </c>
      <c r="D68" s="11">
        <v>82424</v>
      </c>
      <c r="E68" s="11">
        <f>SUM(C68:D68)</f>
        <v>128406</v>
      </c>
      <c r="G68" s="11">
        <v>18699</v>
      </c>
      <c r="H68" s="11">
        <v>116595</v>
      </c>
      <c r="I68" s="11">
        <f>SUM(G68:H68)</f>
        <v>135294</v>
      </c>
    </row>
    <row r="69" spans="1:9">
      <c r="A69" s="11" t="s">
        <v>54</v>
      </c>
      <c r="B69" s="11" t="s">
        <v>34</v>
      </c>
      <c r="C69" s="11">
        <v>261291</v>
      </c>
      <c r="D69" s="11">
        <v>135022</v>
      </c>
      <c r="E69" s="11">
        <f>SUM(C69:D69)</f>
        <v>396313</v>
      </c>
      <c r="G69" s="11">
        <v>167100</v>
      </c>
      <c r="H69" s="11">
        <v>156249</v>
      </c>
      <c r="I69" s="11">
        <f>SUM(G69:H69)</f>
        <v>323349</v>
      </c>
    </row>
    <row r="70" spans="1:9">
      <c r="A70" s="11" t="s">
        <v>54</v>
      </c>
      <c r="B70" s="11" t="s">
        <v>35</v>
      </c>
      <c r="C70" s="11">
        <v>4882</v>
      </c>
      <c r="D70" s="11">
        <v>6920</v>
      </c>
      <c r="E70" s="11">
        <f>SUM(C70:D70)</f>
        <v>11802</v>
      </c>
      <c r="G70" s="11">
        <v>936</v>
      </c>
      <c r="H70" s="11">
        <v>2563</v>
      </c>
      <c r="I70" s="11">
        <f>SUM(G70:H70)</f>
        <v>3499</v>
      </c>
    </row>
    <row r="71" spans="1:9">
      <c r="A71" s="11" t="s">
        <v>54</v>
      </c>
      <c r="B71" s="11" t="s">
        <v>36</v>
      </c>
      <c r="C71" s="11">
        <v>102598</v>
      </c>
      <c r="D71" s="11">
        <v>205446</v>
      </c>
      <c r="E71" s="11">
        <f>SUM(C71:D71)</f>
        <v>308044</v>
      </c>
      <c r="G71" s="11">
        <v>39056</v>
      </c>
      <c r="H71" s="11">
        <v>217752</v>
      </c>
      <c r="I71" s="11">
        <f>SUM(G71:H71)</f>
        <v>256808</v>
      </c>
    </row>
    <row r="72" spans="1:9">
      <c r="A72" s="11" t="s">
        <v>54</v>
      </c>
      <c r="B72" s="11" t="s">
        <v>37</v>
      </c>
      <c r="C72" s="11">
        <v>76084</v>
      </c>
      <c r="D72" s="11">
        <v>68996</v>
      </c>
      <c r="E72" s="11">
        <f>SUM(C72:D72)</f>
        <v>145080</v>
      </c>
      <c r="G72" s="11">
        <v>42939</v>
      </c>
      <c r="H72" s="11">
        <v>115989</v>
      </c>
      <c r="I72" s="11">
        <f>SUM(G72:H72)</f>
        <v>158928</v>
      </c>
    </row>
    <row r="73" spans="1:9">
      <c r="A73" s="11" t="s">
        <v>54</v>
      </c>
      <c r="B73" s="11" t="s">
        <v>38</v>
      </c>
      <c r="C73" s="11">
        <v>20435</v>
      </c>
      <c r="D73" s="11">
        <v>9955</v>
      </c>
      <c r="E73" s="11">
        <f>SUM(C73:D73)</f>
        <v>30390</v>
      </c>
      <c r="G73" s="11">
        <v>3866</v>
      </c>
      <c r="H73" s="11">
        <v>3505</v>
      </c>
      <c r="I73" s="11">
        <f>SUM(G73:H73)</f>
        <v>7371</v>
      </c>
    </row>
    <row r="74" spans="1:9">
      <c r="A74" s="11" t="s">
        <v>54</v>
      </c>
      <c r="B74" s="11" t="s">
        <v>39</v>
      </c>
      <c r="C74" s="11">
        <v>393813</v>
      </c>
      <c r="D74" s="11">
        <v>332250</v>
      </c>
      <c r="E74" s="11">
        <f>SUM(C74:D74)</f>
        <v>726063</v>
      </c>
      <c r="G74" s="11">
        <v>385993</v>
      </c>
      <c r="H74" s="11">
        <v>364451</v>
      </c>
      <c r="I74" s="11">
        <f>SUM(G74:H74)</f>
        <v>750444</v>
      </c>
    </row>
    <row r="75" spans="1:9">
      <c r="A75" s="11" t="s">
        <v>54</v>
      </c>
      <c r="B75" s="11" t="s">
        <v>40</v>
      </c>
      <c r="C75" s="11">
        <v>37935</v>
      </c>
      <c r="D75" s="11">
        <v>27280</v>
      </c>
      <c r="E75" s="11">
        <f>SUM(C75:D75)</f>
        <v>65215</v>
      </c>
      <c r="G75" s="11">
        <v>17863</v>
      </c>
      <c r="H75" s="11">
        <v>43252</v>
      </c>
      <c r="I75" s="11">
        <f>SUM(G75:H75)</f>
        <v>61115</v>
      </c>
    </row>
    <row r="76" spans="1:9">
      <c r="A76" s="11" t="s">
        <v>54</v>
      </c>
      <c r="B76" s="11" t="s">
        <v>41</v>
      </c>
      <c r="C76" s="11">
        <v>274785</v>
      </c>
      <c r="D76" s="11">
        <v>186900</v>
      </c>
      <c r="E76" s="11">
        <f>SUM(C76:D76)</f>
        <v>461685</v>
      </c>
      <c r="G76" s="11">
        <v>49894</v>
      </c>
      <c r="H76" s="11">
        <v>66796</v>
      </c>
      <c r="I76" s="11">
        <f>SUM(G76:H76)</f>
        <v>116690</v>
      </c>
    </row>
    <row r="78" spans="1:9">
      <c r="A78" s="11" t="s">
        <v>55</v>
      </c>
      <c r="B78" s="16" t="s">
        <v>6</v>
      </c>
      <c r="C78" s="11">
        <v>1649</v>
      </c>
      <c r="D78" s="11">
        <v>2875</v>
      </c>
      <c r="E78" s="11">
        <f>SUM(C78:D78)</f>
        <v>4524</v>
      </c>
      <c r="G78" s="11">
        <v>208</v>
      </c>
      <c r="H78" s="11">
        <v>1018</v>
      </c>
      <c r="I78" s="11">
        <f>SUM(G78:H78)</f>
        <v>1226</v>
      </c>
    </row>
    <row r="79" spans="1:9">
      <c r="A79" s="11" t="s">
        <v>55</v>
      </c>
      <c r="B79" s="11" t="s">
        <v>7</v>
      </c>
      <c r="C79" s="11">
        <v>109066</v>
      </c>
      <c r="D79" s="11">
        <v>92752</v>
      </c>
      <c r="E79" s="11">
        <f t="shared" ref="E79:E113" si="0">SUM(C79:D79)</f>
        <v>201818</v>
      </c>
      <c r="G79" s="11">
        <v>49958</v>
      </c>
      <c r="H79" s="11">
        <v>86517</v>
      </c>
      <c r="I79" s="11">
        <f t="shared" ref="I79:I113" si="1">SUM(G79:H79)</f>
        <v>136475</v>
      </c>
    </row>
    <row r="80" spans="1:9">
      <c r="A80" s="11" t="s">
        <v>55</v>
      </c>
      <c r="B80" s="11" t="s">
        <v>8</v>
      </c>
      <c r="C80" s="11">
        <v>9574</v>
      </c>
      <c r="D80" s="11">
        <v>8165</v>
      </c>
      <c r="E80" s="11">
        <f t="shared" si="0"/>
        <v>17739</v>
      </c>
      <c r="G80" s="11">
        <v>2522</v>
      </c>
      <c r="H80" s="11">
        <v>4439</v>
      </c>
      <c r="I80" s="11">
        <f t="shared" si="1"/>
        <v>6961</v>
      </c>
    </row>
    <row r="81" spans="1:9">
      <c r="A81" s="11" t="s">
        <v>55</v>
      </c>
      <c r="B81" s="11" t="s">
        <v>9</v>
      </c>
      <c r="C81" s="11">
        <v>148250</v>
      </c>
      <c r="D81" s="11">
        <v>93564</v>
      </c>
      <c r="E81" s="11">
        <f t="shared" si="0"/>
        <v>241814</v>
      </c>
      <c r="G81" s="11">
        <v>45153</v>
      </c>
      <c r="H81" s="11">
        <v>55232</v>
      </c>
      <c r="I81" s="11">
        <f t="shared" si="1"/>
        <v>100385</v>
      </c>
    </row>
    <row r="82" spans="1:9">
      <c r="A82" s="11" t="s">
        <v>55</v>
      </c>
      <c r="B82" s="11" t="s">
        <v>10</v>
      </c>
      <c r="C82" s="11">
        <v>282326</v>
      </c>
      <c r="D82" s="11">
        <v>207472</v>
      </c>
      <c r="E82" s="11">
        <f t="shared" si="0"/>
        <v>489798</v>
      </c>
      <c r="G82" s="11">
        <v>95939</v>
      </c>
      <c r="H82" s="11">
        <v>71326</v>
      </c>
      <c r="I82" s="11">
        <f t="shared" si="1"/>
        <v>167265</v>
      </c>
    </row>
    <row r="83" spans="1:9">
      <c r="A83" s="11" t="s">
        <v>55</v>
      </c>
      <c r="B83" s="11" t="s">
        <v>11</v>
      </c>
      <c r="C83" s="11">
        <v>1590</v>
      </c>
      <c r="D83" s="11">
        <v>3993</v>
      </c>
      <c r="E83" s="11">
        <f t="shared" si="0"/>
        <v>5583</v>
      </c>
      <c r="G83" s="11">
        <v>399</v>
      </c>
      <c r="H83" s="11">
        <v>4255</v>
      </c>
      <c r="I83" s="11">
        <f t="shared" si="1"/>
        <v>4654</v>
      </c>
    </row>
    <row r="84" spans="1:9">
      <c r="A84" s="11" t="s">
        <v>55</v>
      </c>
      <c r="B84" s="11" t="s">
        <v>12</v>
      </c>
      <c r="C84" s="11">
        <v>114487</v>
      </c>
      <c r="D84" s="11">
        <v>76746</v>
      </c>
      <c r="E84" s="11">
        <f t="shared" si="0"/>
        <v>191233</v>
      </c>
      <c r="G84" s="11">
        <v>23837</v>
      </c>
      <c r="H84" s="11">
        <v>63728</v>
      </c>
      <c r="I84" s="11">
        <f t="shared" si="1"/>
        <v>87565</v>
      </c>
    </row>
    <row r="85" spans="1:9">
      <c r="A85" s="11" t="s">
        <v>55</v>
      </c>
      <c r="B85" s="11" t="s">
        <v>13</v>
      </c>
      <c r="C85" s="11">
        <v>1347</v>
      </c>
      <c r="D85" s="11">
        <v>1950</v>
      </c>
      <c r="E85" s="11">
        <f t="shared" si="0"/>
        <v>3297</v>
      </c>
      <c r="G85" s="11">
        <v>279</v>
      </c>
      <c r="H85" s="11">
        <v>1419</v>
      </c>
      <c r="I85" s="11">
        <f t="shared" si="1"/>
        <v>1698</v>
      </c>
    </row>
    <row r="86" spans="1:9">
      <c r="A86" s="11" t="s">
        <v>55</v>
      </c>
      <c r="B86" s="11" t="s">
        <v>14</v>
      </c>
      <c r="C86" s="11">
        <v>35340</v>
      </c>
      <c r="D86" s="11">
        <v>56443</v>
      </c>
      <c r="E86" s="11">
        <f t="shared" si="0"/>
        <v>91783</v>
      </c>
      <c r="G86" s="11">
        <v>8093</v>
      </c>
      <c r="H86" s="11">
        <v>60603</v>
      </c>
      <c r="I86" s="11">
        <f t="shared" si="1"/>
        <v>68696</v>
      </c>
    </row>
    <row r="87" spans="1:9">
      <c r="A87" s="11" t="s">
        <v>55</v>
      </c>
      <c r="B87" s="11" t="s">
        <v>15</v>
      </c>
      <c r="C87" s="11">
        <v>2535</v>
      </c>
      <c r="D87" s="11">
        <v>9834</v>
      </c>
      <c r="E87" s="11">
        <f t="shared" si="0"/>
        <v>12369</v>
      </c>
      <c r="G87" s="11">
        <v>189</v>
      </c>
      <c r="H87" s="11">
        <v>2036</v>
      </c>
      <c r="I87" s="11">
        <f t="shared" si="1"/>
        <v>2225</v>
      </c>
    </row>
    <row r="88" spans="1:9">
      <c r="A88" s="11" t="s">
        <v>55</v>
      </c>
      <c r="B88" s="11" t="s">
        <v>16</v>
      </c>
      <c r="C88" s="11">
        <v>132257</v>
      </c>
      <c r="D88" s="11">
        <v>112189</v>
      </c>
      <c r="E88" s="11">
        <f t="shared" si="0"/>
        <v>244446</v>
      </c>
      <c r="G88" s="11">
        <v>40790</v>
      </c>
      <c r="H88" s="11">
        <v>108817</v>
      </c>
      <c r="I88" s="11">
        <f t="shared" si="1"/>
        <v>149607</v>
      </c>
    </row>
    <row r="89" spans="1:9">
      <c r="A89" s="11" t="s">
        <v>55</v>
      </c>
      <c r="B89" s="11" t="s">
        <v>17</v>
      </c>
      <c r="C89" s="11">
        <v>52806</v>
      </c>
      <c r="D89" s="11">
        <v>41124</v>
      </c>
      <c r="E89" s="11">
        <f t="shared" si="0"/>
        <v>93930</v>
      </c>
      <c r="G89" s="11">
        <v>35678</v>
      </c>
      <c r="H89" s="11">
        <v>121301</v>
      </c>
      <c r="I89" s="11">
        <f t="shared" si="1"/>
        <v>156979</v>
      </c>
    </row>
    <row r="90" spans="1:9">
      <c r="A90" s="11" t="s">
        <v>55</v>
      </c>
      <c r="B90" s="11" t="s">
        <v>18</v>
      </c>
      <c r="C90" s="11">
        <v>39068</v>
      </c>
      <c r="D90" s="11">
        <v>27013</v>
      </c>
      <c r="E90" s="11">
        <f t="shared" si="0"/>
        <v>66081</v>
      </c>
      <c r="G90" s="11">
        <v>7860</v>
      </c>
      <c r="H90" s="11">
        <v>27190</v>
      </c>
      <c r="I90" s="11">
        <f t="shared" si="1"/>
        <v>35050</v>
      </c>
    </row>
    <row r="91" spans="1:9">
      <c r="A91" s="11" t="s">
        <v>55</v>
      </c>
      <c r="B91" s="11" t="s">
        <v>19</v>
      </c>
      <c r="C91" s="11">
        <v>60302</v>
      </c>
      <c r="D91" s="11">
        <v>36093</v>
      </c>
      <c r="E91" s="11">
        <f t="shared" si="0"/>
        <v>96395</v>
      </c>
      <c r="G91" s="11">
        <v>24561</v>
      </c>
      <c r="H91" s="11">
        <v>46090</v>
      </c>
      <c r="I91" s="11">
        <f t="shared" si="1"/>
        <v>70651</v>
      </c>
    </row>
    <row r="92" spans="1:9">
      <c r="A92" s="11" t="s">
        <v>55</v>
      </c>
      <c r="B92" s="11" t="s">
        <v>20</v>
      </c>
      <c r="C92" s="11">
        <v>85511</v>
      </c>
      <c r="D92" s="11">
        <v>38236</v>
      </c>
      <c r="E92" s="11">
        <f t="shared" si="0"/>
        <v>123747</v>
      </c>
      <c r="G92" s="11">
        <v>37280</v>
      </c>
      <c r="H92" s="11">
        <v>45564</v>
      </c>
      <c r="I92" s="11">
        <f t="shared" si="1"/>
        <v>82844</v>
      </c>
    </row>
    <row r="93" spans="1:9">
      <c r="A93" s="11" t="s">
        <v>55</v>
      </c>
      <c r="B93" s="11" t="s">
        <v>21</v>
      </c>
      <c r="C93" s="11">
        <v>120955</v>
      </c>
      <c r="D93" s="11">
        <v>111579</v>
      </c>
      <c r="E93" s="11">
        <f t="shared" si="0"/>
        <v>232534</v>
      </c>
      <c r="G93" s="11">
        <v>48327</v>
      </c>
      <c r="H93" s="11">
        <v>153081</v>
      </c>
      <c r="I93" s="11">
        <f t="shared" si="1"/>
        <v>201408</v>
      </c>
    </row>
    <row r="94" spans="1:9">
      <c r="A94" s="11" t="s">
        <v>55</v>
      </c>
      <c r="B94" s="11" t="s">
        <v>22</v>
      </c>
      <c r="C94" s="11">
        <v>47784</v>
      </c>
      <c r="D94" s="11">
        <v>155494</v>
      </c>
      <c r="E94" s="11">
        <f t="shared" si="0"/>
        <v>203278</v>
      </c>
      <c r="G94" s="11">
        <v>7693</v>
      </c>
      <c r="H94" s="11">
        <v>80125</v>
      </c>
      <c r="I94" s="11">
        <f t="shared" si="1"/>
        <v>87818</v>
      </c>
    </row>
    <row r="95" spans="1:9">
      <c r="A95" s="11" t="s">
        <v>55</v>
      </c>
      <c r="B95" s="11" t="s">
        <v>23</v>
      </c>
      <c r="C95" s="11">
        <v>2544</v>
      </c>
      <c r="D95" s="11">
        <v>2262</v>
      </c>
      <c r="E95" s="11">
        <f t="shared" si="0"/>
        <v>4806</v>
      </c>
      <c r="G95" s="11">
        <v>487</v>
      </c>
      <c r="H95" s="11">
        <v>1139</v>
      </c>
      <c r="I95" s="11">
        <f t="shared" si="1"/>
        <v>1626</v>
      </c>
    </row>
    <row r="96" spans="1:9">
      <c r="A96" s="11" t="s">
        <v>55</v>
      </c>
      <c r="B96" s="11" t="s">
        <v>24</v>
      </c>
      <c r="C96" s="11">
        <v>390</v>
      </c>
      <c r="D96" s="11">
        <v>521</v>
      </c>
      <c r="E96" s="11">
        <f t="shared" si="0"/>
        <v>911</v>
      </c>
      <c r="G96" s="11">
        <v>0</v>
      </c>
      <c r="H96" s="11">
        <v>0</v>
      </c>
      <c r="I96" s="11">
        <f t="shared" si="1"/>
        <v>0</v>
      </c>
    </row>
    <row r="97" spans="1:9">
      <c r="A97" s="11" t="s">
        <v>55</v>
      </c>
      <c r="B97" s="11" t="s">
        <v>25</v>
      </c>
      <c r="C97" s="11">
        <v>206077</v>
      </c>
      <c r="D97" s="11">
        <v>119492</v>
      </c>
      <c r="E97" s="11">
        <f t="shared" si="0"/>
        <v>325569</v>
      </c>
      <c r="G97" s="11">
        <v>107321</v>
      </c>
      <c r="H97" s="11">
        <v>206635</v>
      </c>
      <c r="I97" s="11">
        <f t="shared" si="1"/>
        <v>313956</v>
      </c>
    </row>
    <row r="98" spans="1:9">
      <c r="A98" s="11" t="s">
        <v>55</v>
      </c>
      <c r="B98" s="11" t="s">
        <v>26</v>
      </c>
      <c r="C98" s="11">
        <v>312004</v>
      </c>
      <c r="D98" s="11">
        <v>191962</v>
      </c>
      <c r="E98" s="11">
        <f t="shared" si="0"/>
        <v>503966</v>
      </c>
      <c r="G98" s="11">
        <v>50604</v>
      </c>
      <c r="H98" s="11">
        <v>183544</v>
      </c>
      <c r="I98" s="11">
        <f t="shared" si="1"/>
        <v>234148</v>
      </c>
    </row>
    <row r="99" spans="1:9">
      <c r="A99" s="11" t="s">
        <v>55</v>
      </c>
      <c r="B99" s="11" t="s">
        <v>27</v>
      </c>
      <c r="C99" s="11">
        <v>9493</v>
      </c>
      <c r="D99" s="11">
        <v>10545</v>
      </c>
      <c r="E99" s="11">
        <f t="shared" si="0"/>
        <v>20038</v>
      </c>
      <c r="G99" s="11">
        <v>8513</v>
      </c>
      <c r="H99" s="11">
        <v>12370</v>
      </c>
      <c r="I99" s="11">
        <f t="shared" si="1"/>
        <v>20883</v>
      </c>
    </row>
    <row r="100" spans="1:9">
      <c r="A100" s="11" t="s">
        <v>55</v>
      </c>
      <c r="B100" s="11" t="s">
        <v>28</v>
      </c>
      <c r="C100" s="11">
        <v>18413</v>
      </c>
      <c r="D100" s="11">
        <v>22032</v>
      </c>
      <c r="E100" s="11">
        <f t="shared" si="0"/>
        <v>40445</v>
      </c>
      <c r="G100" s="11">
        <v>4174</v>
      </c>
      <c r="H100" s="11">
        <v>11107</v>
      </c>
      <c r="I100" s="11">
        <f t="shared" si="1"/>
        <v>15281</v>
      </c>
    </row>
    <row r="101" spans="1:9">
      <c r="A101" s="11" t="s">
        <v>55</v>
      </c>
      <c r="B101" s="11" t="s">
        <v>29</v>
      </c>
      <c r="C101" s="11">
        <v>8387</v>
      </c>
      <c r="D101" s="11">
        <v>6746</v>
      </c>
      <c r="E101" s="11">
        <f t="shared" si="0"/>
        <v>15133</v>
      </c>
      <c r="G101" s="11">
        <v>3300</v>
      </c>
      <c r="H101" s="11">
        <v>4580</v>
      </c>
      <c r="I101" s="11">
        <f t="shared" si="1"/>
        <v>7880</v>
      </c>
    </row>
    <row r="102" spans="1:9">
      <c r="A102" s="11" t="s">
        <v>55</v>
      </c>
      <c r="B102" s="11" t="s">
        <v>30</v>
      </c>
      <c r="C102" s="11">
        <v>9157</v>
      </c>
      <c r="D102" s="11">
        <v>9470</v>
      </c>
      <c r="E102" s="11">
        <f t="shared" si="0"/>
        <v>18627</v>
      </c>
      <c r="G102" s="11">
        <v>4529</v>
      </c>
      <c r="H102" s="11">
        <v>9446</v>
      </c>
      <c r="I102" s="11">
        <f t="shared" si="1"/>
        <v>13975</v>
      </c>
    </row>
    <row r="103" spans="1:9">
      <c r="A103" s="11" t="s">
        <v>55</v>
      </c>
      <c r="B103" s="11" t="s">
        <v>31</v>
      </c>
      <c r="C103" s="11">
        <v>142183</v>
      </c>
      <c r="D103" s="11">
        <v>102501</v>
      </c>
      <c r="E103" s="11">
        <f t="shared" si="0"/>
        <v>244684</v>
      </c>
      <c r="G103" s="11">
        <v>32583</v>
      </c>
      <c r="H103" s="11">
        <v>58229</v>
      </c>
      <c r="I103" s="11">
        <f t="shared" si="1"/>
        <v>90812</v>
      </c>
    </row>
    <row r="104" spans="1:9">
      <c r="A104" s="11" t="s">
        <v>55</v>
      </c>
      <c r="B104" s="11" t="s">
        <v>32</v>
      </c>
      <c r="C104" s="11">
        <v>1648</v>
      </c>
      <c r="D104" s="11">
        <v>3972</v>
      </c>
      <c r="E104" s="11">
        <f t="shared" si="0"/>
        <v>5620</v>
      </c>
      <c r="G104" s="11">
        <v>1437</v>
      </c>
      <c r="H104" s="11">
        <v>6145</v>
      </c>
      <c r="I104" s="11">
        <f t="shared" si="1"/>
        <v>7582</v>
      </c>
    </row>
    <row r="105" spans="1:9">
      <c r="A105" s="11" t="s">
        <v>55</v>
      </c>
      <c r="B105" s="11" t="s">
        <v>33</v>
      </c>
      <c r="C105" s="11">
        <v>46169</v>
      </c>
      <c r="D105" s="11">
        <v>84732</v>
      </c>
      <c r="E105" s="11">
        <f t="shared" si="0"/>
        <v>130901</v>
      </c>
      <c r="G105" s="11">
        <v>19173</v>
      </c>
      <c r="H105" s="11">
        <v>123018</v>
      </c>
      <c r="I105" s="11">
        <f t="shared" si="1"/>
        <v>142191</v>
      </c>
    </row>
    <row r="106" spans="1:9">
      <c r="A106" s="11" t="s">
        <v>55</v>
      </c>
      <c r="B106" s="11" t="s">
        <v>34</v>
      </c>
      <c r="C106" s="11">
        <v>284595</v>
      </c>
      <c r="D106" s="11">
        <v>149466</v>
      </c>
      <c r="E106" s="11">
        <f t="shared" si="0"/>
        <v>434061</v>
      </c>
      <c r="G106" s="11">
        <v>170624</v>
      </c>
      <c r="H106" s="11">
        <v>171060</v>
      </c>
      <c r="I106" s="11">
        <f t="shared" si="1"/>
        <v>341684</v>
      </c>
    </row>
    <row r="107" spans="1:9">
      <c r="A107" s="11" t="s">
        <v>55</v>
      </c>
      <c r="B107" s="11" t="s">
        <v>35</v>
      </c>
      <c r="C107" s="11">
        <v>4738</v>
      </c>
      <c r="D107" s="11">
        <v>6956</v>
      </c>
      <c r="E107" s="11">
        <f t="shared" si="0"/>
        <v>11694</v>
      </c>
      <c r="G107" s="11">
        <v>983</v>
      </c>
      <c r="H107" s="11">
        <v>2812</v>
      </c>
      <c r="I107" s="11">
        <f t="shared" si="1"/>
        <v>3795</v>
      </c>
    </row>
    <row r="108" spans="1:9">
      <c r="A108" s="11" t="s">
        <v>55</v>
      </c>
      <c r="B108" s="11" t="s">
        <v>36</v>
      </c>
      <c r="C108" s="11">
        <v>99387</v>
      </c>
      <c r="D108" s="11">
        <v>212370</v>
      </c>
      <c r="E108" s="11">
        <f t="shared" si="0"/>
        <v>311757</v>
      </c>
      <c r="G108" s="11">
        <v>36044</v>
      </c>
      <c r="H108" s="11">
        <v>202757</v>
      </c>
      <c r="I108" s="11">
        <f t="shared" si="1"/>
        <v>238801</v>
      </c>
    </row>
    <row r="109" spans="1:9">
      <c r="A109" s="11" t="s">
        <v>55</v>
      </c>
      <c r="B109" s="11" t="s">
        <v>37</v>
      </c>
      <c r="C109" s="11">
        <v>78341</v>
      </c>
      <c r="D109" s="11">
        <v>73436</v>
      </c>
      <c r="E109" s="11">
        <f t="shared" si="0"/>
        <v>151777</v>
      </c>
      <c r="G109" s="11">
        <v>47794</v>
      </c>
      <c r="H109" s="11">
        <v>141889</v>
      </c>
      <c r="I109" s="11">
        <f t="shared" si="1"/>
        <v>189683</v>
      </c>
    </row>
    <row r="110" spans="1:9">
      <c r="A110" s="11" t="s">
        <v>55</v>
      </c>
      <c r="B110" s="11" t="s">
        <v>38</v>
      </c>
      <c r="C110" s="11">
        <v>19776</v>
      </c>
      <c r="D110" s="11">
        <v>9998</v>
      </c>
      <c r="E110" s="11">
        <f t="shared" si="0"/>
        <v>29774</v>
      </c>
      <c r="G110" s="11">
        <v>4059</v>
      </c>
      <c r="H110" s="11">
        <v>3828</v>
      </c>
      <c r="I110" s="11">
        <f t="shared" si="1"/>
        <v>7887</v>
      </c>
    </row>
    <row r="111" spans="1:9">
      <c r="A111" s="11" t="s">
        <v>55</v>
      </c>
      <c r="B111" s="11" t="s">
        <v>39</v>
      </c>
      <c r="C111" s="11">
        <v>391119</v>
      </c>
      <c r="D111" s="11">
        <v>331448</v>
      </c>
      <c r="E111" s="11">
        <f t="shared" si="0"/>
        <v>722567</v>
      </c>
      <c r="G111" s="11">
        <v>400362</v>
      </c>
      <c r="H111" s="11">
        <v>415550</v>
      </c>
      <c r="I111" s="11">
        <f t="shared" si="1"/>
        <v>815912</v>
      </c>
    </row>
    <row r="112" spans="1:9">
      <c r="A112" s="11" t="s">
        <v>55</v>
      </c>
      <c r="B112" s="11" t="s">
        <v>40</v>
      </c>
      <c r="C112" s="11">
        <v>37349</v>
      </c>
      <c r="D112" s="11">
        <v>27305</v>
      </c>
      <c r="E112" s="11">
        <f t="shared" si="0"/>
        <v>64654</v>
      </c>
      <c r="G112" s="11">
        <v>18307</v>
      </c>
      <c r="H112" s="11">
        <v>47780</v>
      </c>
      <c r="I112" s="11">
        <f t="shared" si="1"/>
        <v>66087</v>
      </c>
    </row>
    <row r="113" spans="1:9">
      <c r="A113" s="11" t="s">
        <v>55</v>
      </c>
      <c r="B113" s="11" t="s">
        <v>41</v>
      </c>
      <c r="C113" s="11">
        <v>271301</v>
      </c>
      <c r="D113" s="11">
        <v>184591</v>
      </c>
      <c r="E113" s="11">
        <f t="shared" si="0"/>
        <v>455892</v>
      </c>
      <c r="G113" s="11">
        <v>50048</v>
      </c>
      <c r="H113" s="11">
        <v>70617</v>
      </c>
      <c r="I113" s="11">
        <f t="shared" si="1"/>
        <v>120665</v>
      </c>
    </row>
  </sheetData>
  <mergeCells count="2">
    <mergeCell ref="A1:E2"/>
    <mergeCell ref="G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CCA0-5476-46C3-B06D-F59996CA60B2}">
  <dimension ref="A1:G113"/>
  <sheetViews>
    <sheetView tabSelected="1" workbookViewId="0">
      <selection activeCell="L9" sqref="L9"/>
    </sheetView>
  </sheetViews>
  <sheetFormatPr defaultRowHeight="15"/>
  <cols>
    <col min="2" max="2" width="40.28515625" bestFit="1" customWidth="1"/>
    <col min="3" max="3" width="11.5703125" bestFit="1" customWidth="1"/>
    <col min="4" max="4" width="13.7109375" bestFit="1" customWidth="1"/>
    <col min="5" max="5" width="11.85546875" bestFit="1" customWidth="1"/>
    <col min="6" max="6" width="14.85546875" bestFit="1" customWidth="1"/>
  </cols>
  <sheetData>
    <row r="1" spans="1:7">
      <c r="A1" s="42" t="s">
        <v>64</v>
      </c>
      <c r="B1" s="42"/>
      <c r="C1" s="42"/>
      <c r="D1" s="42"/>
      <c r="E1" s="42"/>
      <c r="F1" s="42"/>
      <c r="G1" s="42"/>
    </row>
    <row r="2" spans="1:7">
      <c r="A2" s="42"/>
      <c r="B2" s="42"/>
      <c r="C2" s="42"/>
      <c r="D2" s="42"/>
      <c r="E2" s="42"/>
      <c r="F2" s="42"/>
      <c r="G2" s="42"/>
    </row>
    <row r="3" spans="1:7" ht="15.75">
      <c r="A3" s="31" t="s">
        <v>1</v>
      </c>
      <c r="B3" s="24" t="s">
        <v>46</v>
      </c>
      <c r="C3" s="25" t="s">
        <v>65</v>
      </c>
      <c r="D3" s="24" t="s">
        <v>66</v>
      </c>
      <c r="E3" s="32" t="s">
        <v>67</v>
      </c>
      <c r="F3" s="14" t="s">
        <v>68</v>
      </c>
      <c r="G3" s="14" t="s">
        <v>69</v>
      </c>
    </row>
    <row r="4" spans="1:7">
      <c r="A4" s="27" t="s">
        <v>70</v>
      </c>
      <c r="B4" s="28" t="s">
        <v>71</v>
      </c>
      <c r="C4" s="28">
        <v>62</v>
      </c>
      <c r="D4" s="28">
        <v>70.2</v>
      </c>
      <c r="E4" s="28">
        <v>65.8</v>
      </c>
      <c r="F4" s="27">
        <v>1.1299999999999999</v>
      </c>
      <c r="G4" s="27">
        <v>13</v>
      </c>
    </row>
    <row r="5" spans="1:7">
      <c r="A5" s="29" t="s">
        <v>70</v>
      </c>
      <c r="B5" s="30" t="s">
        <v>7</v>
      </c>
      <c r="C5" s="30">
        <v>55.2</v>
      </c>
      <c r="D5" s="30">
        <v>58.3</v>
      </c>
      <c r="E5" s="30">
        <v>56.7</v>
      </c>
      <c r="F5" s="29">
        <v>1.06</v>
      </c>
      <c r="G5" s="29">
        <v>32</v>
      </c>
    </row>
    <row r="6" spans="1:7">
      <c r="A6" s="29" t="s">
        <v>70</v>
      </c>
      <c r="B6" s="30" t="s">
        <v>8</v>
      </c>
      <c r="C6" s="30">
        <v>51.4</v>
      </c>
      <c r="D6" s="30">
        <v>56.1</v>
      </c>
      <c r="E6" s="30">
        <v>53.7</v>
      </c>
      <c r="F6" s="29">
        <v>1.0900000000000001</v>
      </c>
      <c r="G6" s="29">
        <v>20</v>
      </c>
    </row>
    <row r="7" spans="1:7">
      <c r="A7" s="29" t="s">
        <v>70</v>
      </c>
      <c r="B7" s="30" t="s">
        <v>9</v>
      </c>
      <c r="C7" s="30">
        <v>38</v>
      </c>
      <c r="D7" s="30">
        <v>42.2</v>
      </c>
      <c r="E7" s="30">
        <v>40</v>
      </c>
      <c r="F7" s="29">
        <v>1.1100000000000001</v>
      </c>
      <c r="G7" s="29">
        <v>21</v>
      </c>
    </row>
    <row r="8" spans="1:7">
      <c r="A8" s="29" t="s">
        <v>70</v>
      </c>
      <c r="B8" s="30" t="s">
        <v>10</v>
      </c>
      <c r="C8" s="30">
        <v>35.6</v>
      </c>
      <c r="D8" s="30">
        <v>36.200000000000003</v>
      </c>
      <c r="E8" s="30">
        <v>35.9</v>
      </c>
      <c r="F8" s="29">
        <v>1.02</v>
      </c>
      <c r="G8" s="29">
        <v>63</v>
      </c>
    </row>
    <row r="9" spans="1:7">
      <c r="A9" s="29" t="s">
        <v>70</v>
      </c>
      <c r="B9" s="30" t="s">
        <v>11</v>
      </c>
      <c r="C9" s="30">
        <v>76.099999999999994</v>
      </c>
      <c r="D9" s="30">
        <v>89.4</v>
      </c>
      <c r="E9" s="30">
        <v>81.7</v>
      </c>
      <c r="F9" s="29">
        <v>1.17</v>
      </c>
      <c r="G9" s="29">
        <v>27</v>
      </c>
    </row>
    <row r="10" spans="1:7">
      <c r="A10" s="29" t="s">
        <v>70</v>
      </c>
      <c r="B10" s="30" t="s">
        <v>12</v>
      </c>
      <c r="C10" s="30">
        <v>62.9</v>
      </c>
      <c r="D10" s="30">
        <v>73.599999999999994</v>
      </c>
      <c r="E10" s="30">
        <v>68.099999999999994</v>
      </c>
      <c r="F10" s="29">
        <v>1.17</v>
      </c>
      <c r="G10" s="29">
        <v>17</v>
      </c>
    </row>
    <row r="11" spans="1:7">
      <c r="A11" s="29" t="s">
        <v>70</v>
      </c>
      <c r="B11" s="30" t="s">
        <v>72</v>
      </c>
      <c r="C11" s="30">
        <v>44.7</v>
      </c>
      <c r="D11" s="30">
        <v>70.8</v>
      </c>
      <c r="E11" s="30">
        <v>54.9</v>
      </c>
      <c r="F11" s="29">
        <v>1.58</v>
      </c>
      <c r="G11" s="29">
        <v>26</v>
      </c>
    </row>
    <row r="12" spans="1:7">
      <c r="A12" s="29" t="s">
        <v>70</v>
      </c>
      <c r="B12" s="30" t="s">
        <v>14</v>
      </c>
      <c r="C12" s="30">
        <v>91.2</v>
      </c>
      <c r="D12" s="30">
        <v>99.5</v>
      </c>
      <c r="E12" s="30">
        <v>94.9</v>
      </c>
      <c r="F12" s="29">
        <v>1.0900000000000001</v>
      </c>
      <c r="G12" s="29">
        <v>22</v>
      </c>
    </row>
    <row r="13" spans="1:7">
      <c r="A13" s="29" t="s">
        <v>70</v>
      </c>
      <c r="B13" s="30" t="s">
        <v>15</v>
      </c>
      <c r="C13" s="30">
        <v>71.2</v>
      </c>
      <c r="D13" s="30">
        <v>76.3</v>
      </c>
      <c r="E13" s="30">
        <v>73.7</v>
      </c>
      <c r="F13" s="29">
        <v>1.07</v>
      </c>
      <c r="G13" s="29">
        <v>19</v>
      </c>
    </row>
    <row r="14" spans="1:7">
      <c r="A14" s="29" t="s">
        <v>70</v>
      </c>
      <c r="B14" s="30" t="s">
        <v>16</v>
      </c>
      <c r="C14" s="30">
        <v>48.6</v>
      </c>
      <c r="D14" s="30">
        <v>47.8</v>
      </c>
      <c r="E14" s="30">
        <v>48.2</v>
      </c>
      <c r="F14" s="29">
        <v>0.98</v>
      </c>
      <c r="G14" s="29">
        <v>28</v>
      </c>
    </row>
    <row r="15" spans="1:7">
      <c r="A15" s="29" t="s">
        <v>70</v>
      </c>
      <c r="B15" s="30" t="s">
        <v>17</v>
      </c>
      <c r="C15" s="30">
        <v>75.099999999999994</v>
      </c>
      <c r="D15" s="30">
        <v>76</v>
      </c>
      <c r="E15" s="30">
        <v>75.5</v>
      </c>
      <c r="F15" s="29">
        <v>1.01</v>
      </c>
      <c r="G15" s="29">
        <v>15</v>
      </c>
    </row>
    <row r="16" spans="1:7">
      <c r="A16" s="29" t="s">
        <v>70</v>
      </c>
      <c r="B16" s="30" t="s">
        <v>18</v>
      </c>
      <c r="C16" s="30">
        <v>93</v>
      </c>
      <c r="D16" s="30">
        <v>95.3</v>
      </c>
      <c r="E16" s="30">
        <v>94.1</v>
      </c>
      <c r="F16" s="29">
        <v>1.03</v>
      </c>
      <c r="G16" s="29">
        <v>10</v>
      </c>
    </row>
    <row r="17" spans="1:7">
      <c r="A17" s="29" t="s">
        <v>70</v>
      </c>
      <c r="B17" s="30" t="s">
        <v>73</v>
      </c>
      <c r="C17" s="30">
        <v>53.4</v>
      </c>
      <c r="D17" s="30">
        <v>52.9</v>
      </c>
      <c r="E17" s="30">
        <v>53.2</v>
      </c>
      <c r="F17" s="29">
        <v>0.99</v>
      </c>
      <c r="G17" s="29">
        <v>28</v>
      </c>
    </row>
    <row r="18" spans="1:7">
      <c r="A18" s="29" t="s">
        <v>70</v>
      </c>
      <c r="B18" s="30" t="s">
        <v>20</v>
      </c>
      <c r="C18" s="30">
        <v>44.9</v>
      </c>
      <c r="D18" s="30">
        <v>48</v>
      </c>
      <c r="E18" s="30">
        <v>46.4</v>
      </c>
      <c r="F18" s="29">
        <v>1.07</v>
      </c>
      <c r="G18" s="29">
        <v>57</v>
      </c>
    </row>
    <row r="19" spans="1:7">
      <c r="A19" s="29" t="s">
        <v>70</v>
      </c>
      <c r="B19" s="30" t="s">
        <v>21</v>
      </c>
      <c r="C19" s="30">
        <v>54.6</v>
      </c>
      <c r="D19" s="30">
        <v>58.8</v>
      </c>
      <c r="E19" s="30">
        <v>56.6</v>
      </c>
      <c r="F19" s="29">
        <v>1.08</v>
      </c>
      <c r="G19" s="29">
        <v>28</v>
      </c>
    </row>
    <row r="20" spans="1:7">
      <c r="A20" s="29" t="s">
        <v>70</v>
      </c>
      <c r="B20" s="30" t="s">
        <v>22</v>
      </c>
      <c r="C20" s="30">
        <v>81.8</v>
      </c>
      <c r="D20" s="30">
        <v>88.4</v>
      </c>
      <c r="E20" s="30">
        <v>85</v>
      </c>
      <c r="F20" s="29">
        <v>1.08</v>
      </c>
      <c r="G20" s="29">
        <v>22</v>
      </c>
    </row>
    <row r="21" spans="1:7">
      <c r="A21" s="29" t="s">
        <v>70</v>
      </c>
      <c r="B21" s="30" t="s">
        <v>23</v>
      </c>
      <c r="C21" s="30">
        <v>44.4</v>
      </c>
      <c r="D21" s="30">
        <v>54.8</v>
      </c>
      <c r="E21" s="30">
        <v>49.4</v>
      </c>
      <c r="F21" s="29">
        <v>1.0900000000000001</v>
      </c>
      <c r="G21" s="29">
        <v>13</v>
      </c>
    </row>
    <row r="22" spans="1:7">
      <c r="A22" s="29" t="s">
        <v>70</v>
      </c>
      <c r="B22" s="30" t="s">
        <v>24</v>
      </c>
      <c r="C22" s="30">
        <v>64.900000000000006</v>
      </c>
      <c r="D22" s="30">
        <v>60</v>
      </c>
      <c r="E22" s="30">
        <v>62.4</v>
      </c>
      <c r="F22" s="29">
        <v>0.92</v>
      </c>
      <c r="G22" s="29">
        <v>12</v>
      </c>
    </row>
    <row r="23" spans="1:7">
      <c r="A23" s="29" t="s">
        <v>70</v>
      </c>
      <c r="B23" s="30" t="s">
        <v>25</v>
      </c>
      <c r="C23" s="30">
        <v>51.9</v>
      </c>
      <c r="D23" s="30">
        <v>50.7</v>
      </c>
      <c r="E23" s="30">
        <v>51.3</v>
      </c>
      <c r="F23" s="29">
        <v>0.98</v>
      </c>
      <c r="G23" s="29">
        <v>30</v>
      </c>
    </row>
    <row r="24" spans="1:7">
      <c r="A24" s="29" t="s">
        <v>70</v>
      </c>
      <c r="B24" s="30" t="s">
        <v>26</v>
      </c>
      <c r="C24" s="30">
        <v>72</v>
      </c>
      <c r="D24" s="30">
        <v>70.900000000000006</v>
      </c>
      <c r="E24" s="30">
        <v>71.5</v>
      </c>
      <c r="F24" s="29">
        <v>0.98</v>
      </c>
      <c r="G24" s="29">
        <v>38</v>
      </c>
    </row>
    <row r="25" spans="1:7">
      <c r="A25" s="29" t="s">
        <v>70</v>
      </c>
      <c r="B25" s="30" t="s">
        <v>27</v>
      </c>
      <c r="C25" s="30">
        <v>70</v>
      </c>
      <c r="D25" s="30">
        <v>69.7</v>
      </c>
      <c r="E25" s="30">
        <v>69.900000000000006</v>
      </c>
      <c r="F25" s="29">
        <v>1</v>
      </c>
      <c r="G25" s="29">
        <v>16</v>
      </c>
    </row>
    <row r="26" spans="1:7">
      <c r="A26" s="29" t="s">
        <v>70</v>
      </c>
      <c r="B26" s="30" t="s">
        <v>28</v>
      </c>
      <c r="C26" s="30">
        <v>39.4</v>
      </c>
      <c r="D26" s="30">
        <v>52.7</v>
      </c>
      <c r="E26" s="30">
        <v>46</v>
      </c>
      <c r="F26" s="29">
        <v>1.34</v>
      </c>
      <c r="G26" s="29">
        <v>20</v>
      </c>
    </row>
    <row r="27" spans="1:7">
      <c r="A27" s="29" t="s">
        <v>70</v>
      </c>
      <c r="B27" s="30" t="s">
        <v>29</v>
      </c>
      <c r="C27" s="30">
        <v>57.1</v>
      </c>
      <c r="D27" s="30">
        <v>65.7</v>
      </c>
      <c r="E27" s="30">
        <v>61.3</v>
      </c>
      <c r="F27" s="29">
        <v>1.1499999999999999</v>
      </c>
      <c r="G27" s="29">
        <v>15</v>
      </c>
    </row>
    <row r="28" spans="1:7">
      <c r="A28" s="29" t="s">
        <v>70</v>
      </c>
      <c r="B28" s="30" t="s">
        <v>30</v>
      </c>
      <c r="C28" s="30">
        <v>33</v>
      </c>
      <c r="D28" s="30">
        <v>38.799999999999997</v>
      </c>
      <c r="E28" s="30">
        <v>35.799999999999997</v>
      </c>
      <c r="F28" s="29">
        <v>1.18</v>
      </c>
      <c r="G28" s="29">
        <v>17</v>
      </c>
    </row>
    <row r="29" spans="1:7">
      <c r="A29" s="29" t="s">
        <v>70</v>
      </c>
      <c r="B29" s="30" t="s">
        <v>31</v>
      </c>
      <c r="C29" s="30">
        <v>41.8</v>
      </c>
      <c r="D29" s="30">
        <v>45.4</v>
      </c>
      <c r="E29" s="30">
        <v>43.6</v>
      </c>
      <c r="F29" s="29">
        <v>1.0900000000000001</v>
      </c>
      <c r="G29" s="29">
        <v>36</v>
      </c>
    </row>
    <row r="30" spans="1:7">
      <c r="A30" s="29" t="s">
        <v>70</v>
      </c>
      <c r="B30" s="30" t="s">
        <v>32</v>
      </c>
      <c r="C30" s="30">
        <v>64.599999999999994</v>
      </c>
      <c r="D30" s="30">
        <v>73.3</v>
      </c>
      <c r="E30" s="30">
        <v>68.7</v>
      </c>
      <c r="F30" s="29">
        <v>1.1299999999999999</v>
      </c>
      <c r="G30" s="29">
        <v>16</v>
      </c>
    </row>
    <row r="31" spans="1:7">
      <c r="A31" s="29" t="s">
        <v>70</v>
      </c>
      <c r="B31" s="30" t="s">
        <v>33</v>
      </c>
      <c r="C31" s="30">
        <v>81.2</v>
      </c>
      <c r="D31" s="30">
        <v>83.1</v>
      </c>
      <c r="E31" s="30">
        <v>82.1</v>
      </c>
      <c r="F31" s="29">
        <v>1.02</v>
      </c>
      <c r="G31" s="29">
        <v>18</v>
      </c>
    </row>
    <row r="32" spans="1:7">
      <c r="A32" s="29" t="s">
        <v>70</v>
      </c>
      <c r="B32" s="30" t="s">
        <v>34</v>
      </c>
      <c r="C32" s="30">
        <v>74</v>
      </c>
      <c r="D32" s="30">
        <v>66.3</v>
      </c>
      <c r="E32" s="30">
        <v>70.400000000000006</v>
      </c>
      <c r="F32" s="29">
        <v>0.9</v>
      </c>
      <c r="G32" s="29">
        <v>18</v>
      </c>
    </row>
    <row r="33" spans="1:7">
      <c r="A33" s="29" t="s">
        <v>70</v>
      </c>
      <c r="B33" s="30" t="s">
        <v>35</v>
      </c>
      <c r="C33" s="30">
        <v>56.6</v>
      </c>
      <c r="D33" s="30">
        <v>72</v>
      </c>
      <c r="E33" s="30">
        <v>64.2</v>
      </c>
      <c r="F33" s="29">
        <v>1.27</v>
      </c>
      <c r="G33" s="29">
        <v>11</v>
      </c>
    </row>
    <row r="34" spans="1:7">
      <c r="A34" s="29" t="s">
        <v>70</v>
      </c>
      <c r="B34" s="30" t="s">
        <v>36</v>
      </c>
      <c r="C34" s="30">
        <v>77.3</v>
      </c>
      <c r="D34" s="30">
        <v>85.9</v>
      </c>
      <c r="E34" s="30">
        <v>81.5</v>
      </c>
      <c r="F34" s="29">
        <v>1.1100000000000001</v>
      </c>
      <c r="G34" s="29">
        <v>21</v>
      </c>
    </row>
    <row r="35" spans="1:7">
      <c r="A35" s="29" t="s">
        <v>70</v>
      </c>
      <c r="B35" s="30" t="s">
        <v>37</v>
      </c>
      <c r="C35" s="30">
        <v>63.1</v>
      </c>
      <c r="D35" s="30">
        <v>66.7</v>
      </c>
      <c r="E35" s="30">
        <v>64.8</v>
      </c>
      <c r="F35" s="29">
        <v>1.06</v>
      </c>
      <c r="G35" s="29">
        <v>29</v>
      </c>
    </row>
    <row r="36" spans="1:7">
      <c r="A36" s="29" t="s">
        <v>70</v>
      </c>
      <c r="B36" s="30" t="s">
        <v>38</v>
      </c>
      <c r="C36" s="30">
        <v>52.5</v>
      </c>
      <c r="D36" s="30">
        <v>60.4</v>
      </c>
      <c r="E36" s="30">
        <v>56.3</v>
      </c>
      <c r="F36" s="29">
        <v>1.1499999999999999</v>
      </c>
      <c r="G36" s="29">
        <v>15</v>
      </c>
    </row>
    <row r="37" spans="1:7">
      <c r="A37" s="29" t="s">
        <v>70</v>
      </c>
      <c r="B37" s="30" t="s">
        <v>40</v>
      </c>
      <c r="C37" s="30">
        <v>52.8</v>
      </c>
      <c r="D37" s="30">
        <v>48.3</v>
      </c>
      <c r="E37" s="30">
        <v>50.7</v>
      </c>
      <c r="F37" s="29">
        <v>0.92</v>
      </c>
      <c r="G37" s="29">
        <v>39</v>
      </c>
    </row>
    <row r="38" spans="1:7">
      <c r="A38" s="29" t="s">
        <v>70</v>
      </c>
      <c r="B38" s="30" t="s">
        <v>39</v>
      </c>
      <c r="C38" s="30">
        <v>77.7</v>
      </c>
      <c r="D38" s="30">
        <v>80.599999999999994</v>
      </c>
      <c r="E38" s="30">
        <v>78.8</v>
      </c>
      <c r="F38" s="29">
        <v>1.04</v>
      </c>
      <c r="G38" s="29">
        <v>17</v>
      </c>
    </row>
    <row r="39" spans="1:7">
      <c r="A39" s="29" t="s">
        <v>70</v>
      </c>
      <c r="B39" s="30" t="s">
        <v>41</v>
      </c>
      <c r="C39" s="30">
        <v>53.7</v>
      </c>
      <c r="D39" s="30">
        <v>70.599999999999994</v>
      </c>
      <c r="E39" s="30">
        <v>62</v>
      </c>
      <c r="F39" s="29">
        <v>1.31</v>
      </c>
      <c r="G39" s="29">
        <v>28</v>
      </c>
    </row>
    <row r="41" spans="1:7">
      <c r="A41" s="5" t="s">
        <v>74</v>
      </c>
      <c r="B41" s="5" t="s">
        <v>71</v>
      </c>
      <c r="C41" s="5">
        <v>91.5</v>
      </c>
      <c r="D41" s="5">
        <v>100.9</v>
      </c>
      <c r="E41" s="5">
        <v>95.9</v>
      </c>
      <c r="F41" s="5">
        <v>1.1000000000000001</v>
      </c>
      <c r="G41" s="5">
        <v>12</v>
      </c>
    </row>
    <row r="42" spans="1:7">
      <c r="A42" s="5" t="s">
        <v>74</v>
      </c>
      <c r="B42" s="5" t="s">
        <v>7</v>
      </c>
      <c r="C42" s="5">
        <v>57.7</v>
      </c>
      <c r="D42" s="5">
        <v>63.8</v>
      </c>
      <c r="E42" s="5">
        <v>60.7</v>
      </c>
      <c r="F42" s="5">
        <v>1.1000000000000001</v>
      </c>
      <c r="G42" s="5">
        <v>31</v>
      </c>
    </row>
    <row r="43" spans="1:7">
      <c r="A43" s="5" t="s">
        <v>74</v>
      </c>
      <c r="B43" s="5" t="s">
        <v>8</v>
      </c>
      <c r="C43" s="5">
        <v>50</v>
      </c>
      <c r="D43" s="5">
        <v>56.3</v>
      </c>
      <c r="E43" s="5">
        <v>53.1</v>
      </c>
      <c r="F43" s="5">
        <v>1.1200000000000001</v>
      </c>
      <c r="G43" s="5">
        <v>19</v>
      </c>
    </row>
    <row r="44" spans="1:7">
      <c r="A44" s="5" t="s">
        <v>74</v>
      </c>
      <c r="B44" s="5" t="s">
        <v>9</v>
      </c>
      <c r="C44" s="5">
        <v>34.9</v>
      </c>
      <c r="D44" s="5">
        <v>39.299999999999997</v>
      </c>
      <c r="E44" s="5">
        <v>37.1</v>
      </c>
      <c r="F44" s="5">
        <v>1.1299999999999999</v>
      </c>
      <c r="G44" s="5">
        <v>18</v>
      </c>
    </row>
    <row r="45" spans="1:7">
      <c r="A45" s="5" t="s">
        <v>74</v>
      </c>
      <c r="B45" s="5" t="s">
        <v>10</v>
      </c>
      <c r="C45" s="5">
        <v>27.4</v>
      </c>
      <c r="D45" s="5">
        <v>31.9</v>
      </c>
      <c r="E45" s="5">
        <v>29.5</v>
      </c>
      <c r="F45" s="5">
        <v>1.1599999999999999</v>
      </c>
      <c r="G45" s="5">
        <v>52</v>
      </c>
    </row>
    <row r="46" spans="1:7">
      <c r="A46" s="5" t="s">
        <v>74</v>
      </c>
      <c r="B46" s="5" t="s">
        <v>11</v>
      </c>
      <c r="C46" s="5">
        <v>110</v>
      </c>
      <c r="D46" s="5">
        <v>129.30000000000001</v>
      </c>
      <c r="E46" s="5">
        <v>118.1</v>
      </c>
      <c r="F46" s="5">
        <v>1.17</v>
      </c>
      <c r="G46" s="5">
        <v>28</v>
      </c>
    </row>
    <row r="47" spans="1:7">
      <c r="A47" s="5" t="s">
        <v>74</v>
      </c>
      <c r="B47" s="5" t="s">
        <v>12</v>
      </c>
      <c r="C47" s="5">
        <v>53.8</v>
      </c>
      <c r="D47" s="5">
        <v>66.3</v>
      </c>
      <c r="E47" s="5">
        <v>59.9</v>
      </c>
      <c r="F47" s="5">
        <v>1.23</v>
      </c>
      <c r="G47" s="5">
        <v>14</v>
      </c>
    </row>
    <row r="48" spans="1:7">
      <c r="A48" s="5" t="s">
        <v>74</v>
      </c>
      <c r="B48" s="5" t="s">
        <v>72</v>
      </c>
      <c r="C48" s="5">
        <v>49.8</v>
      </c>
      <c r="D48" s="5">
        <v>83.2</v>
      </c>
      <c r="E48" s="5">
        <v>62.7</v>
      </c>
      <c r="F48" s="5">
        <v>1.67</v>
      </c>
      <c r="G48" s="5">
        <v>23</v>
      </c>
    </row>
    <row r="49" spans="1:7">
      <c r="A49" s="5" t="s">
        <v>74</v>
      </c>
      <c r="B49" s="5" t="s">
        <v>14</v>
      </c>
      <c r="C49" s="5">
        <v>89.2</v>
      </c>
      <c r="D49" s="5">
        <v>98.1</v>
      </c>
      <c r="E49" s="5">
        <v>93.3</v>
      </c>
      <c r="F49" s="5">
        <v>1.1000000000000001</v>
      </c>
      <c r="G49" s="5">
        <v>24</v>
      </c>
    </row>
    <row r="50" spans="1:7">
      <c r="A50" s="5" t="s">
        <v>74</v>
      </c>
      <c r="B50" s="5" t="s">
        <v>15</v>
      </c>
      <c r="C50" s="5">
        <v>91</v>
      </c>
      <c r="D50" s="5">
        <v>101.4</v>
      </c>
      <c r="E50" s="5">
        <v>95.8</v>
      </c>
      <c r="F50" s="5">
        <v>1.1100000000000001</v>
      </c>
      <c r="G50" s="5">
        <v>17</v>
      </c>
    </row>
    <row r="51" spans="1:7">
      <c r="A51" s="5" t="s">
        <v>74</v>
      </c>
      <c r="B51" s="5" t="s">
        <v>16</v>
      </c>
      <c r="C51" s="5">
        <v>50.6</v>
      </c>
      <c r="D51" s="5">
        <v>51.8</v>
      </c>
      <c r="E51" s="5">
        <v>51.2</v>
      </c>
      <c r="F51" s="5">
        <v>1.02</v>
      </c>
      <c r="G51" s="5">
        <v>27</v>
      </c>
    </row>
    <row r="52" spans="1:7">
      <c r="A52" s="5" t="s">
        <v>74</v>
      </c>
      <c r="B52" s="5" t="s">
        <v>17</v>
      </c>
      <c r="C52" s="5">
        <v>72.2</v>
      </c>
      <c r="D52" s="5">
        <v>74.400000000000006</v>
      </c>
      <c r="E52" s="5">
        <v>73.2</v>
      </c>
      <c r="F52" s="5">
        <v>1.03</v>
      </c>
      <c r="G52" s="5">
        <v>13</v>
      </c>
    </row>
    <row r="53" spans="1:7">
      <c r="A53" s="5" t="s">
        <v>74</v>
      </c>
      <c r="B53" s="5" t="s">
        <v>18</v>
      </c>
      <c r="C53" s="5">
        <v>88.2</v>
      </c>
      <c r="D53" s="5">
        <v>91.8</v>
      </c>
      <c r="E53" s="5">
        <v>89.7</v>
      </c>
      <c r="F53" s="5">
        <v>1.04</v>
      </c>
      <c r="G53" s="5">
        <v>9</v>
      </c>
    </row>
    <row r="54" spans="1:7">
      <c r="A54" s="5" t="s">
        <v>74</v>
      </c>
      <c r="B54" s="5" t="s">
        <v>73</v>
      </c>
      <c r="C54" s="5">
        <v>50</v>
      </c>
      <c r="D54" s="5">
        <v>51.2</v>
      </c>
      <c r="E54" s="5">
        <v>50.6</v>
      </c>
      <c r="F54" s="5">
        <v>1.02</v>
      </c>
      <c r="G54" s="5">
        <v>25</v>
      </c>
    </row>
    <row r="55" spans="1:7">
      <c r="A55" s="5" t="s">
        <v>74</v>
      </c>
      <c r="B55" s="5" t="s">
        <v>20</v>
      </c>
      <c r="C55" s="5">
        <v>37.299999999999997</v>
      </c>
      <c r="D55" s="5">
        <v>39.799999999999997</v>
      </c>
      <c r="E55" s="5">
        <v>38.5</v>
      </c>
      <c r="F55" s="5">
        <v>1.07</v>
      </c>
      <c r="G55" s="5">
        <v>46</v>
      </c>
    </row>
    <row r="56" spans="1:7">
      <c r="A56" s="5" t="s">
        <v>74</v>
      </c>
      <c r="B56" s="5" t="s">
        <v>21</v>
      </c>
      <c r="C56" s="5">
        <v>60.2</v>
      </c>
      <c r="D56" s="5">
        <v>68.7</v>
      </c>
      <c r="E56" s="5">
        <v>64.3</v>
      </c>
      <c r="F56" s="5">
        <v>1.1399999999999999</v>
      </c>
      <c r="G56" s="5">
        <v>32</v>
      </c>
    </row>
    <row r="57" spans="1:7">
      <c r="A57" s="5" t="s">
        <v>74</v>
      </c>
      <c r="B57" s="5" t="s">
        <v>22</v>
      </c>
      <c r="C57" s="5">
        <v>85.2</v>
      </c>
      <c r="D57" s="5">
        <v>89.7</v>
      </c>
      <c r="E57" s="5">
        <v>87.4</v>
      </c>
      <c r="F57" s="5">
        <v>1.05</v>
      </c>
      <c r="G57" s="5">
        <v>21</v>
      </c>
    </row>
    <row r="58" spans="1:7">
      <c r="A58" s="5" t="s">
        <v>74</v>
      </c>
      <c r="B58" s="5" t="s">
        <v>23</v>
      </c>
      <c r="C58" s="5">
        <v>61.8</v>
      </c>
      <c r="D58" s="5">
        <v>69.7</v>
      </c>
      <c r="E58" s="5">
        <v>65.8</v>
      </c>
      <c r="F58" s="5">
        <v>1.1299999999999999</v>
      </c>
      <c r="G58" s="5">
        <v>11</v>
      </c>
    </row>
    <row r="59" spans="1:7">
      <c r="A59" s="5" t="s">
        <v>74</v>
      </c>
      <c r="B59" s="5" t="s">
        <v>24</v>
      </c>
      <c r="C59" s="5">
        <v>90.4</v>
      </c>
      <c r="D59" s="5">
        <v>87.2</v>
      </c>
      <c r="E59" s="5">
        <v>88.7</v>
      </c>
      <c r="F59" s="5">
        <v>0.96</v>
      </c>
      <c r="G59" s="5">
        <v>13</v>
      </c>
    </row>
    <row r="60" spans="1:7">
      <c r="A60" s="5" t="s">
        <v>74</v>
      </c>
      <c r="B60" s="5" t="s">
        <v>25</v>
      </c>
      <c r="C60" s="5">
        <v>46</v>
      </c>
      <c r="D60" s="5">
        <v>49.3</v>
      </c>
      <c r="E60" s="5">
        <v>47.5</v>
      </c>
      <c r="F60" s="5">
        <v>1.07</v>
      </c>
      <c r="G60" s="5">
        <v>23</v>
      </c>
    </row>
    <row r="61" spans="1:7">
      <c r="A61" s="5" t="s">
        <v>74</v>
      </c>
      <c r="B61" s="5" t="s">
        <v>26</v>
      </c>
      <c r="C61" s="5">
        <v>68.900000000000006</v>
      </c>
      <c r="D61" s="5">
        <v>68.5</v>
      </c>
      <c r="E61" s="5">
        <v>68.7</v>
      </c>
      <c r="F61" s="5">
        <v>0.99</v>
      </c>
      <c r="G61" s="5">
        <v>36</v>
      </c>
    </row>
    <row r="62" spans="1:7">
      <c r="A62" s="5" t="s">
        <v>74</v>
      </c>
      <c r="B62" s="5" t="s">
        <v>27</v>
      </c>
      <c r="C62" s="5">
        <v>69.400000000000006</v>
      </c>
      <c r="D62" s="5">
        <v>68.400000000000006</v>
      </c>
      <c r="E62" s="5">
        <v>68.900000000000006</v>
      </c>
      <c r="F62" s="5">
        <v>0.99</v>
      </c>
      <c r="G62" s="5">
        <v>16</v>
      </c>
    </row>
    <row r="63" spans="1:7">
      <c r="A63" s="5" t="s">
        <v>74</v>
      </c>
      <c r="B63" s="5" t="s">
        <v>28</v>
      </c>
      <c r="C63" s="5">
        <v>36.700000000000003</v>
      </c>
      <c r="D63" s="5">
        <v>53</v>
      </c>
      <c r="E63" s="5">
        <v>44.7</v>
      </c>
      <c r="F63" s="5">
        <v>1.44</v>
      </c>
      <c r="G63" s="5">
        <v>18</v>
      </c>
    </row>
    <row r="64" spans="1:7">
      <c r="A64" s="5" t="s">
        <v>74</v>
      </c>
      <c r="B64" s="5" t="s">
        <v>29</v>
      </c>
      <c r="C64" s="5">
        <v>50.9</v>
      </c>
      <c r="D64" s="5">
        <v>60.2</v>
      </c>
      <c r="E64" s="5">
        <v>55.5</v>
      </c>
      <c r="F64" s="5">
        <v>1.18</v>
      </c>
      <c r="G64" s="5">
        <v>13</v>
      </c>
    </row>
    <row r="65" spans="1:7">
      <c r="A65" s="5" t="s">
        <v>74</v>
      </c>
      <c r="B65" s="5" t="s">
        <v>30</v>
      </c>
      <c r="C65" s="5">
        <v>36.700000000000003</v>
      </c>
      <c r="D65" s="5">
        <v>43</v>
      </c>
      <c r="E65" s="5">
        <v>39.799999999999997</v>
      </c>
      <c r="F65" s="5">
        <v>1.17</v>
      </c>
      <c r="G65" s="5">
        <v>17</v>
      </c>
    </row>
    <row r="66" spans="1:7">
      <c r="A66" s="5" t="s">
        <v>74</v>
      </c>
      <c r="B66" s="5" t="s">
        <v>31</v>
      </c>
      <c r="C66" s="5">
        <v>51.6</v>
      </c>
      <c r="D66" s="5">
        <v>55.5</v>
      </c>
      <c r="E66" s="5">
        <v>53.5</v>
      </c>
      <c r="F66" s="5">
        <v>1.08</v>
      </c>
      <c r="G66" s="5">
        <v>39</v>
      </c>
    </row>
    <row r="67" spans="1:7">
      <c r="A67" s="5" t="s">
        <v>74</v>
      </c>
      <c r="B67" s="5" t="s">
        <v>32</v>
      </c>
      <c r="C67" s="5">
        <v>84.8</v>
      </c>
      <c r="D67" s="5">
        <v>101.2</v>
      </c>
      <c r="E67" s="5">
        <v>92.6</v>
      </c>
      <c r="F67" s="5">
        <v>1.19</v>
      </c>
      <c r="G67" s="5">
        <v>16</v>
      </c>
    </row>
    <row r="68" spans="1:7">
      <c r="A68" s="5" t="s">
        <v>74</v>
      </c>
      <c r="B68" s="5" t="s">
        <v>33</v>
      </c>
      <c r="C68" s="5">
        <v>79.3</v>
      </c>
      <c r="D68" s="5">
        <v>81.5</v>
      </c>
      <c r="E68" s="5">
        <v>80.400000000000006</v>
      </c>
      <c r="F68" s="5">
        <v>1.03</v>
      </c>
      <c r="G68" s="5">
        <v>17</v>
      </c>
    </row>
    <row r="69" spans="1:7">
      <c r="A69" s="5" t="s">
        <v>74</v>
      </c>
      <c r="B69" s="5" t="s">
        <v>34</v>
      </c>
      <c r="C69" s="5">
        <v>69.3</v>
      </c>
      <c r="D69" s="5">
        <v>63.6</v>
      </c>
      <c r="E69" s="5">
        <v>66.599999999999994</v>
      </c>
      <c r="F69" s="5">
        <v>0.92</v>
      </c>
      <c r="G69" s="5">
        <v>17</v>
      </c>
    </row>
    <row r="70" spans="1:7">
      <c r="A70" s="5" t="s">
        <v>74</v>
      </c>
      <c r="B70" s="5" t="s">
        <v>35</v>
      </c>
      <c r="C70" s="5">
        <v>58</v>
      </c>
      <c r="D70" s="5">
        <v>72.400000000000006</v>
      </c>
      <c r="E70" s="5">
        <v>65.099999999999994</v>
      </c>
      <c r="F70" s="5">
        <v>1.25</v>
      </c>
      <c r="G70" s="5">
        <v>9</v>
      </c>
    </row>
    <row r="71" spans="1:7">
      <c r="A71" s="5" t="s">
        <v>74</v>
      </c>
      <c r="B71" s="5" t="s">
        <v>36</v>
      </c>
      <c r="C71" s="5">
        <v>74.7</v>
      </c>
      <c r="D71" s="5">
        <v>85.8</v>
      </c>
      <c r="E71" s="5">
        <v>80.099999999999994</v>
      </c>
      <c r="F71" s="5">
        <v>1.1499999999999999</v>
      </c>
      <c r="G71" s="5">
        <v>24</v>
      </c>
    </row>
    <row r="72" spans="1:7">
      <c r="A72" s="5" t="s">
        <v>74</v>
      </c>
      <c r="B72" s="5" t="s">
        <v>37</v>
      </c>
      <c r="C72" s="5">
        <v>75.5</v>
      </c>
      <c r="D72" s="5">
        <v>77.3</v>
      </c>
      <c r="E72" s="5">
        <v>76.3</v>
      </c>
      <c r="F72" s="5">
        <v>1.02</v>
      </c>
      <c r="G72" s="5">
        <v>31</v>
      </c>
    </row>
    <row r="73" spans="1:7">
      <c r="A73" s="5" t="s">
        <v>74</v>
      </c>
      <c r="B73" s="5" t="s">
        <v>38</v>
      </c>
      <c r="C73" s="5">
        <v>55.4</v>
      </c>
      <c r="D73" s="5">
        <v>63.5</v>
      </c>
      <c r="E73" s="5">
        <v>59.3</v>
      </c>
      <c r="F73" s="5">
        <v>1.1499999999999999</v>
      </c>
      <c r="G73" s="5">
        <v>16</v>
      </c>
    </row>
    <row r="74" spans="1:7">
      <c r="A74" s="5" t="s">
        <v>74</v>
      </c>
      <c r="B74" s="5" t="s">
        <v>40</v>
      </c>
      <c r="C74" s="5">
        <v>50.6</v>
      </c>
      <c r="D74" s="5">
        <v>48</v>
      </c>
      <c r="E74" s="5">
        <v>49.4</v>
      </c>
      <c r="F74" s="5">
        <v>0.95</v>
      </c>
      <c r="G74" s="5">
        <v>35</v>
      </c>
    </row>
    <row r="75" spans="1:7">
      <c r="A75" s="5" t="s">
        <v>74</v>
      </c>
      <c r="B75" s="5" t="s">
        <v>39</v>
      </c>
      <c r="C75" s="5">
        <v>77.2</v>
      </c>
      <c r="D75" s="5">
        <v>82.6</v>
      </c>
      <c r="E75" s="5">
        <v>79.599999999999994</v>
      </c>
      <c r="F75" s="5">
        <v>1.07</v>
      </c>
      <c r="G75" s="5">
        <v>15</v>
      </c>
    </row>
    <row r="76" spans="1:7">
      <c r="A76" s="5" t="s">
        <v>74</v>
      </c>
      <c r="B76" s="5" t="s">
        <v>41</v>
      </c>
      <c r="C76" s="5">
        <v>57.3</v>
      </c>
      <c r="D76" s="5">
        <v>78</v>
      </c>
      <c r="E76" s="5">
        <v>67.5</v>
      </c>
      <c r="F76" s="5">
        <v>1.36</v>
      </c>
      <c r="G76" s="5">
        <v>30</v>
      </c>
    </row>
    <row r="77" spans="1:7">
      <c r="A77" s="4"/>
      <c r="B77" s="4"/>
      <c r="C77" s="4"/>
      <c r="D77" s="4"/>
      <c r="E77" s="4"/>
      <c r="F77" s="4"/>
      <c r="G77" s="4"/>
    </row>
    <row r="78" spans="1:7">
      <c r="A78" s="5" t="s">
        <v>75</v>
      </c>
      <c r="B78" s="5" t="s">
        <v>71</v>
      </c>
      <c r="C78" s="5">
        <v>76.7</v>
      </c>
      <c r="D78" s="5">
        <v>95.2</v>
      </c>
      <c r="E78" s="5">
        <v>85.2</v>
      </c>
      <c r="F78" s="5">
        <v>1.24</v>
      </c>
      <c r="G78" s="5">
        <v>11</v>
      </c>
    </row>
    <row r="79" spans="1:7">
      <c r="A79" s="5" t="s">
        <v>75</v>
      </c>
      <c r="B79" s="5" t="s">
        <v>7</v>
      </c>
      <c r="C79" s="5">
        <v>62.9</v>
      </c>
      <c r="D79" s="5">
        <v>67.900000000000006</v>
      </c>
      <c r="E79" s="5">
        <v>65.400000000000006</v>
      </c>
      <c r="F79" s="5">
        <v>1.08</v>
      </c>
      <c r="G79" s="5">
        <v>29</v>
      </c>
    </row>
    <row r="80" spans="1:7">
      <c r="A80" s="5" t="s">
        <v>75</v>
      </c>
      <c r="B80" s="5" t="s">
        <v>8</v>
      </c>
      <c r="C80" s="5">
        <v>43.2</v>
      </c>
      <c r="D80" s="5">
        <v>48.6</v>
      </c>
      <c r="E80" s="5">
        <v>45.9</v>
      </c>
      <c r="F80" s="5">
        <v>1.1200000000000001</v>
      </c>
      <c r="G80" s="5">
        <v>15</v>
      </c>
    </row>
    <row r="81" spans="1:7">
      <c r="A81" s="5" t="s">
        <v>75</v>
      </c>
      <c r="B81" s="5" t="s">
        <v>9</v>
      </c>
      <c r="C81" s="5">
        <v>35.4</v>
      </c>
      <c r="D81" s="5">
        <v>39.9</v>
      </c>
      <c r="E81" s="5">
        <v>37.6</v>
      </c>
      <c r="F81" s="5">
        <v>1.1299999999999999</v>
      </c>
      <c r="G81" s="5">
        <v>18</v>
      </c>
    </row>
    <row r="82" spans="1:7">
      <c r="A82" s="5" t="s">
        <v>75</v>
      </c>
      <c r="B82" s="5" t="s">
        <v>10</v>
      </c>
      <c r="C82" s="5">
        <v>28.7</v>
      </c>
      <c r="D82" s="5">
        <v>31.3</v>
      </c>
      <c r="E82" s="5">
        <v>30</v>
      </c>
      <c r="F82" s="5">
        <v>1.0900000000000001</v>
      </c>
      <c r="G82" s="5">
        <v>31</v>
      </c>
    </row>
    <row r="83" spans="1:7">
      <c r="A83" s="5" t="s">
        <v>75</v>
      </c>
      <c r="B83" s="5" t="s">
        <v>11</v>
      </c>
      <c r="C83" s="5">
        <v>100.1</v>
      </c>
      <c r="D83" s="5">
        <v>122.1</v>
      </c>
      <c r="E83" s="5">
        <v>109.3</v>
      </c>
      <c r="F83" s="5">
        <v>1.22</v>
      </c>
      <c r="G83" s="5">
        <v>24</v>
      </c>
    </row>
    <row r="84" spans="1:7">
      <c r="A84" s="5" t="s">
        <v>75</v>
      </c>
      <c r="B84" s="5" t="s">
        <v>12</v>
      </c>
      <c r="C84" s="5">
        <v>45.5</v>
      </c>
      <c r="D84" s="5">
        <v>58.5</v>
      </c>
      <c r="E84" s="5">
        <v>51.9</v>
      </c>
      <c r="F84" s="5">
        <v>1.29</v>
      </c>
      <c r="G84" s="5">
        <v>12</v>
      </c>
    </row>
    <row r="85" spans="1:7">
      <c r="A85" s="5" t="s">
        <v>75</v>
      </c>
      <c r="B85" s="5" t="s">
        <v>72</v>
      </c>
      <c r="C85" s="5">
        <v>42.3</v>
      </c>
      <c r="D85" s="5">
        <v>74.2</v>
      </c>
      <c r="E85" s="5">
        <v>54.5</v>
      </c>
      <c r="F85" s="5">
        <v>1.75</v>
      </c>
      <c r="G85" s="5">
        <v>18</v>
      </c>
    </row>
    <row r="86" spans="1:7">
      <c r="A86" s="5" t="s">
        <v>75</v>
      </c>
      <c r="B86" s="5" t="s">
        <v>14</v>
      </c>
      <c r="C86" s="5">
        <v>78.400000000000006</v>
      </c>
      <c r="D86" s="5">
        <v>88.9</v>
      </c>
      <c r="E86" s="5">
        <v>83.2</v>
      </c>
      <c r="F86" s="5">
        <v>1.1299999999999999</v>
      </c>
      <c r="G86" s="5">
        <v>20</v>
      </c>
    </row>
    <row r="87" spans="1:7">
      <c r="A87" s="5" t="s">
        <v>75</v>
      </c>
      <c r="B87" s="5" t="s">
        <v>15</v>
      </c>
      <c r="C87" s="5">
        <v>85.8</v>
      </c>
      <c r="D87" s="5">
        <v>99.3</v>
      </c>
      <c r="E87" s="5">
        <v>92.2</v>
      </c>
      <c r="F87" s="5">
        <v>1.1599999999999999</v>
      </c>
      <c r="G87" s="5">
        <v>16</v>
      </c>
    </row>
    <row r="88" spans="1:7">
      <c r="A88" s="5" t="s">
        <v>75</v>
      </c>
      <c r="B88" s="5" t="s">
        <v>16</v>
      </c>
      <c r="C88" s="5">
        <v>41.6</v>
      </c>
      <c r="D88" s="5">
        <v>46.6</v>
      </c>
      <c r="E88" s="5">
        <v>43.9</v>
      </c>
      <c r="F88" s="5">
        <v>1.1200000000000001</v>
      </c>
      <c r="G88" s="5">
        <v>24</v>
      </c>
    </row>
    <row r="89" spans="1:7">
      <c r="A89" s="5" t="s">
        <v>75</v>
      </c>
      <c r="B89" s="5" t="s">
        <v>17</v>
      </c>
      <c r="C89" s="5">
        <v>63.5</v>
      </c>
      <c r="D89" s="5">
        <v>68.099999999999994</v>
      </c>
      <c r="E89" s="5">
        <v>65.599999999999994</v>
      </c>
      <c r="F89" s="5">
        <v>1.07</v>
      </c>
      <c r="G89" s="5">
        <v>11</v>
      </c>
    </row>
    <row r="90" spans="1:7">
      <c r="A90" s="5" t="s">
        <v>75</v>
      </c>
      <c r="B90" s="5" t="s">
        <v>18</v>
      </c>
      <c r="C90" s="5">
        <v>78.8</v>
      </c>
      <c r="D90" s="5">
        <v>84.8</v>
      </c>
      <c r="E90" s="5">
        <v>81.599999999999994</v>
      </c>
      <c r="F90" s="5">
        <v>1.08</v>
      </c>
      <c r="G90" s="5">
        <v>9</v>
      </c>
    </row>
    <row r="91" spans="1:7">
      <c r="A91" s="5" t="s">
        <v>75</v>
      </c>
      <c r="B91" s="5" t="s">
        <v>73</v>
      </c>
      <c r="C91" s="5">
        <v>41.6</v>
      </c>
      <c r="D91" s="5">
        <v>44.1</v>
      </c>
      <c r="E91" s="5">
        <v>42.8</v>
      </c>
      <c r="F91" s="5">
        <v>1.06</v>
      </c>
      <c r="G91" s="5">
        <v>21</v>
      </c>
    </row>
    <row r="92" spans="1:7">
      <c r="A92" s="5" t="s">
        <v>75</v>
      </c>
      <c r="B92" s="5" t="s">
        <v>20</v>
      </c>
      <c r="C92" s="5">
        <v>39.799999999999997</v>
      </c>
      <c r="D92" s="5">
        <v>42.8</v>
      </c>
      <c r="E92" s="5">
        <v>41.3</v>
      </c>
      <c r="F92" s="5">
        <v>1.07</v>
      </c>
      <c r="G92" s="5">
        <v>47</v>
      </c>
    </row>
    <row r="93" spans="1:7">
      <c r="A93" s="5" t="s">
        <v>75</v>
      </c>
      <c r="B93" s="5" t="s">
        <v>21</v>
      </c>
      <c r="C93" s="5">
        <v>53.1</v>
      </c>
      <c r="D93" s="5">
        <v>64.3</v>
      </c>
      <c r="E93" s="5">
        <v>58.3</v>
      </c>
      <c r="F93" s="5">
        <v>1.21</v>
      </c>
      <c r="G93" s="5">
        <v>28</v>
      </c>
    </row>
    <row r="94" spans="1:7">
      <c r="A94" s="5" t="s">
        <v>75</v>
      </c>
      <c r="B94" s="5" t="s">
        <v>22</v>
      </c>
      <c r="C94" s="5">
        <v>86</v>
      </c>
      <c r="D94" s="5">
        <v>90.2</v>
      </c>
      <c r="E94" s="5">
        <v>88.1</v>
      </c>
      <c r="F94" s="5">
        <v>1.05</v>
      </c>
      <c r="G94" s="5">
        <v>20</v>
      </c>
    </row>
    <row r="95" spans="1:7">
      <c r="A95" s="5" t="s">
        <v>75</v>
      </c>
      <c r="B95" s="5" t="s">
        <v>23</v>
      </c>
      <c r="C95" s="5">
        <v>43.1</v>
      </c>
      <c r="D95" s="5">
        <v>49.6</v>
      </c>
      <c r="E95" s="5">
        <v>46.4</v>
      </c>
      <c r="F95" s="5">
        <v>1.1499999999999999</v>
      </c>
      <c r="G95" s="5">
        <v>8</v>
      </c>
    </row>
    <row r="96" spans="1:7">
      <c r="A96" s="5" t="s">
        <v>75</v>
      </c>
      <c r="B96" s="5" t="s">
        <v>24</v>
      </c>
      <c r="C96" s="5">
        <v>74.5</v>
      </c>
      <c r="D96" s="5">
        <v>68.7</v>
      </c>
      <c r="E96" s="5">
        <v>71.599999999999994</v>
      </c>
      <c r="F96" s="5">
        <v>0.92</v>
      </c>
      <c r="G96" s="5">
        <v>9</v>
      </c>
    </row>
    <row r="97" spans="1:7">
      <c r="A97" s="5" t="s">
        <v>75</v>
      </c>
      <c r="B97" s="5" t="s">
        <v>25</v>
      </c>
      <c r="C97" s="5">
        <v>43</v>
      </c>
      <c r="D97" s="5">
        <v>44.8</v>
      </c>
      <c r="E97" s="5">
        <v>43.9</v>
      </c>
      <c r="F97" s="5">
        <v>1.04</v>
      </c>
      <c r="G97" s="5">
        <v>20</v>
      </c>
    </row>
    <row r="98" spans="1:7">
      <c r="A98" s="5" t="s">
        <v>75</v>
      </c>
      <c r="B98" s="5" t="s">
        <v>26</v>
      </c>
      <c r="C98" s="5">
        <v>68.599999999999994</v>
      </c>
      <c r="D98" s="5">
        <v>69.900000000000006</v>
      </c>
      <c r="E98" s="5">
        <v>69.2</v>
      </c>
      <c r="F98" s="5">
        <v>1.02</v>
      </c>
      <c r="G98" s="5">
        <v>37</v>
      </c>
    </row>
    <row r="99" spans="1:7">
      <c r="A99" s="5" t="s">
        <v>75</v>
      </c>
      <c r="B99" s="5" t="s">
        <v>27</v>
      </c>
      <c r="C99" s="5">
        <v>56.3</v>
      </c>
      <c r="D99" s="5">
        <v>56.5</v>
      </c>
      <c r="E99" s="5">
        <v>56.4</v>
      </c>
      <c r="F99" s="5">
        <v>1</v>
      </c>
      <c r="G99" s="5">
        <v>13</v>
      </c>
    </row>
    <row r="100" spans="1:7">
      <c r="A100" s="5" t="s">
        <v>75</v>
      </c>
      <c r="B100" s="5" t="s">
        <v>28</v>
      </c>
      <c r="C100" s="5">
        <v>32.6</v>
      </c>
      <c r="D100" s="5">
        <v>47.3</v>
      </c>
      <c r="E100" s="5">
        <v>39.799999999999997</v>
      </c>
      <c r="F100" s="5">
        <v>1.45</v>
      </c>
      <c r="G100" s="5">
        <v>16</v>
      </c>
    </row>
    <row r="101" spans="1:7">
      <c r="A101" s="5" t="s">
        <v>75</v>
      </c>
      <c r="B101" s="5" t="s">
        <v>29</v>
      </c>
      <c r="C101" s="5">
        <v>49.4</v>
      </c>
      <c r="D101" s="5">
        <v>57.5</v>
      </c>
      <c r="E101" s="5">
        <v>53.3</v>
      </c>
      <c r="F101" s="5">
        <v>1.1599999999999999</v>
      </c>
      <c r="G101" s="5">
        <v>12</v>
      </c>
    </row>
    <row r="102" spans="1:7">
      <c r="A102" s="5" t="s">
        <v>75</v>
      </c>
      <c r="B102" s="5" t="s">
        <v>30</v>
      </c>
      <c r="C102" s="5">
        <v>36.799999999999997</v>
      </c>
      <c r="D102" s="5">
        <v>44.2</v>
      </c>
      <c r="E102" s="5">
        <v>40.4</v>
      </c>
      <c r="F102" s="5">
        <v>1.2</v>
      </c>
      <c r="G102" s="5">
        <v>16</v>
      </c>
    </row>
    <row r="103" spans="1:7">
      <c r="A103" s="5" t="s">
        <v>75</v>
      </c>
      <c r="B103" s="5" t="s">
        <v>31</v>
      </c>
      <c r="C103" s="5">
        <v>56.7</v>
      </c>
      <c r="D103" s="5">
        <v>60.7</v>
      </c>
      <c r="E103" s="5">
        <v>58.6</v>
      </c>
      <c r="F103" s="5">
        <v>1.07</v>
      </c>
      <c r="G103" s="5">
        <v>39</v>
      </c>
    </row>
    <row r="104" spans="1:7">
      <c r="A104" s="5" t="s">
        <v>75</v>
      </c>
      <c r="B104" s="5" t="s">
        <v>32</v>
      </c>
      <c r="C104" s="5">
        <v>83.2</v>
      </c>
      <c r="D104" s="5">
        <v>99.3</v>
      </c>
      <c r="E104" s="5">
        <v>90.9</v>
      </c>
      <c r="F104" s="5">
        <v>1.19</v>
      </c>
      <c r="G104" s="5">
        <v>15</v>
      </c>
    </row>
    <row r="105" spans="1:7">
      <c r="A105" s="5" t="s">
        <v>75</v>
      </c>
      <c r="B105" s="5" t="s">
        <v>33</v>
      </c>
      <c r="C105" s="5">
        <v>77.2</v>
      </c>
      <c r="D105" s="5">
        <v>81.599999999999994</v>
      </c>
      <c r="E105" s="5">
        <v>79.2</v>
      </c>
      <c r="F105" s="5">
        <v>1.06</v>
      </c>
      <c r="G105" s="5">
        <v>16</v>
      </c>
    </row>
    <row r="106" spans="1:7">
      <c r="A106" s="5" t="s">
        <v>75</v>
      </c>
      <c r="B106" s="5" t="s">
        <v>34</v>
      </c>
      <c r="C106" s="5">
        <v>63</v>
      </c>
      <c r="D106" s="5">
        <v>60.8</v>
      </c>
      <c r="E106" s="5">
        <v>62</v>
      </c>
      <c r="F106" s="5">
        <v>0.96</v>
      </c>
      <c r="G106" s="5">
        <v>15</v>
      </c>
    </row>
    <row r="107" spans="1:7">
      <c r="A107" s="5" t="s">
        <v>75</v>
      </c>
      <c r="B107" s="5" t="s">
        <v>35</v>
      </c>
      <c r="C107" s="5">
        <v>51.8</v>
      </c>
      <c r="D107" s="5">
        <v>63</v>
      </c>
      <c r="E107" s="5">
        <v>57.4</v>
      </c>
      <c r="F107" s="5">
        <v>1.22</v>
      </c>
      <c r="G107" s="5">
        <v>8</v>
      </c>
    </row>
    <row r="108" spans="1:7">
      <c r="A108" s="5" t="s">
        <v>75</v>
      </c>
      <c r="B108" s="5" t="s">
        <v>36</v>
      </c>
      <c r="C108" s="5">
        <v>77.3</v>
      </c>
      <c r="D108" s="5">
        <v>88.8</v>
      </c>
      <c r="E108" s="5">
        <v>82.9</v>
      </c>
      <c r="F108" s="5">
        <v>1.1499999999999999</v>
      </c>
      <c r="G108" s="5">
        <v>33</v>
      </c>
    </row>
    <row r="109" spans="1:7">
      <c r="A109" s="5" t="s">
        <v>75</v>
      </c>
      <c r="B109" s="5" t="s">
        <v>37</v>
      </c>
      <c r="C109" s="5">
        <v>69.400000000000006</v>
      </c>
      <c r="D109" s="5">
        <v>75.400000000000006</v>
      </c>
      <c r="E109" s="5">
        <v>72.3</v>
      </c>
      <c r="F109" s="5">
        <v>1.0900000000000001</v>
      </c>
      <c r="G109" s="5">
        <v>25</v>
      </c>
    </row>
    <row r="110" spans="1:7">
      <c r="A110" s="5" t="s">
        <v>75</v>
      </c>
      <c r="B110" s="5" t="s">
        <v>38</v>
      </c>
      <c r="C110" s="5">
        <v>53.1</v>
      </c>
      <c r="D110" s="5">
        <v>60.5</v>
      </c>
      <c r="E110" s="5">
        <v>56.6</v>
      </c>
      <c r="F110" s="5">
        <v>1.1399999999999999</v>
      </c>
      <c r="G110" s="5">
        <v>15</v>
      </c>
    </row>
    <row r="111" spans="1:7">
      <c r="A111" s="5" t="s">
        <v>75</v>
      </c>
      <c r="B111" s="5" t="s">
        <v>40</v>
      </c>
      <c r="C111" s="5">
        <v>54.5</v>
      </c>
      <c r="D111" s="5">
        <v>51.7</v>
      </c>
      <c r="E111" s="5">
        <v>53.2</v>
      </c>
      <c r="F111" s="5">
        <v>0.95</v>
      </c>
      <c r="G111" s="5">
        <v>35</v>
      </c>
    </row>
    <row r="112" spans="1:7">
      <c r="A112" s="5" t="s">
        <v>75</v>
      </c>
      <c r="B112" s="5" t="s">
        <v>39</v>
      </c>
      <c r="C112" s="5">
        <v>73.900000000000006</v>
      </c>
      <c r="D112" s="5">
        <v>81.5</v>
      </c>
      <c r="E112" s="5">
        <v>77.5</v>
      </c>
      <c r="F112" s="5">
        <v>1.1000000000000001</v>
      </c>
      <c r="G112" s="5">
        <v>14</v>
      </c>
    </row>
    <row r="113" spans="1:7">
      <c r="A113" s="5" t="s">
        <v>75</v>
      </c>
      <c r="B113" s="5" t="s">
        <v>41</v>
      </c>
      <c r="C113" s="5">
        <v>57</v>
      </c>
      <c r="D113" s="5">
        <v>75.5</v>
      </c>
      <c r="E113" s="5">
        <v>66.099999999999994</v>
      </c>
      <c r="F113" s="5">
        <v>1.33</v>
      </c>
      <c r="G113" s="5">
        <v>28</v>
      </c>
    </row>
  </sheetData>
  <mergeCells count="1">
    <mergeCell ref="A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D6A2-4BF5-49C5-8999-639415980332}">
  <dimension ref="A1:I6"/>
  <sheetViews>
    <sheetView workbookViewId="0">
      <selection activeCell="E13" sqref="E13"/>
    </sheetView>
  </sheetViews>
  <sheetFormatPr defaultRowHeight="15"/>
  <cols>
    <col min="1" max="1" width="8" bestFit="1" customWidth="1"/>
    <col min="2" max="2" width="15.5703125" bestFit="1" customWidth="1"/>
    <col min="3" max="3" width="32.5703125" bestFit="1" customWidth="1"/>
    <col min="4" max="4" width="22.7109375" bestFit="1" customWidth="1"/>
    <col min="5" max="5" width="17.5703125" bestFit="1" customWidth="1"/>
    <col min="6" max="6" width="19.85546875" bestFit="1" customWidth="1"/>
    <col min="7" max="7" width="11.85546875" bestFit="1" customWidth="1"/>
    <col min="8" max="8" width="15.28515625" bestFit="1" customWidth="1"/>
    <col min="9" max="9" width="11.42578125" bestFit="1" customWidth="1"/>
  </cols>
  <sheetData>
    <row r="1" spans="1:9">
      <c r="A1" s="48" t="s">
        <v>76</v>
      </c>
      <c r="B1" s="48"/>
      <c r="C1" s="48"/>
      <c r="D1" s="48"/>
      <c r="E1" s="48"/>
      <c r="F1" s="48"/>
      <c r="G1" s="48"/>
      <c r="H1" s="48"/>
      <c r="I1" s="48"/>
    </row>
    <row r="2" spans="1:9">
      <c r="A2" s="48"/>
      <c r="B2" s="48"/>
      <c r="C2" s="48"/>
      <c r="D2" s="48"/>
      <c r="E2" s="48"/>
      <c r="F2" s="48"/>
      <c r="G2" s="48"/>
      <c r="H2" s="48"/>
      <c r="I2" s="48"/>
    </row>
    <row r="3" spans="1:9" ht="15.75">
      <c r="A3" s="8" t="s">
        <v>1</v>
      </c>
      <c r="B3" s="8" t="s">
        <v>0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67</v>
      </c>
      <c r="H3" s="8" t="s">
        <v>81</v>
      </c>
      <c r="I3" s="8" t="s">
        <v>82</v>
      </c>
    </row>
    <row r="4" spans="1:9">
      <c r="A4" s="9" t="s">
        <v>70</v>
      </c>
      <c r="B4">
        <v>1489115</v>
      </c>
      <c r="C4" s="9">
        <v>265235830</v>
      </c>
      <c r="D4" s="9">
        <v>9507123</v>
      </c>
      <c r="E4" s="12">
        <v>57</v>
      </c>
      <c r="F4" s="12">
        <v>58.2</v>
      </c>
      <c r="G4" s="12">
        <v>57.6</v>
      </c>
      <c r="H4" s="12">
        <v>1.02</v>
      </c>
      <c r="I4" s="11">
        <v>27</v>
      </c>
    </row>
    <row r="5" spans="1:9">
      <c r="A5" s="9" t="s">
        <v>74</v>
      </c>
      <c r="B5" s="9">
        <v>1466109</v>
      </c>
      <c r="C5" s="9">
        <v>251791722</v>
      </c>
      <c r="D5" s="9">
        <v>9483294</v>
      </c>
      <c r="E5" s="12">
        <v>55.1</v>
      </c>
      <c r="F5" s="12">
        <v>58.7</v>
      </c>
      <c r="G5" s="12">
        <v>56.8</v>
      </c>
      <c r="H5" s="10">
        <v>1.07</v>
      </c>
      <c r="I5" s="11">
        <v>26</v>
      </c>
    </row>
    <row r="6" spans="1:9">
      <c r="A6" s="9" t="s">
        <v>75</v>
      </c>
      <c r="B6" s="9">
        <v>1469990</v>
      </c>
      <c r="C6" s="9">
        <v>248045828</v>
      </c>
      <c r="D6" s="9">
        <v>9807600</v>
      </c>
      <c r="E6" s="12">
        <v>54.4</v>
      </c>
      <c r="F6" s="12">
        <v>58.2</v>
      </c>
      <c r="G6" s="12">
        <v>56.2</v>
      </c>
      <c r="H6" s="10">
        <v>1.07</v>
      </c>
      <c r="I6" s="11">
        <v>24</v>
      </c>
    </row>
  </sheetData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workbookViewId="0">
      <selection activeCell="A4" sqref="A4"/>
    </sheetView>
  </sheetViews>
  <sheetFormatPr defaultRowHeight="15"/>
  <cols>
    <col min="1" max="1" width="8.28515625" bestFit="1" customWidth="1"/>
    <col min="2" max="2" width="34.140625" bestFit="1" customWidth="1"/>
    <col min="3" max="3" width="13.5703125" bestFit="1" customWidth="1"/>
    <col min="4" max="4" width="20.140625" bestFit="1" customWidth="1"/>
    <col min="5" max="5" width="14.140625" bestFit="1" customWidth="1"/>
    <col min="6" max="6" width="16.42578125" bestFit="1" customWidth="1"/>
    <col min="7" max="7" width="10.42578125" bestFit="1" customWidth="1"/>
    <col min="8" max="8" width="17.7109375" bestFit="1" customWidth="1"/>
    <col min="9" max="9" width="11.85546875" bestFit="1" customWidth="1"/>
    <col min="10" max="10" width="14.7109375" bestFit="1" customWidth="1"/>
    <col min="11" max="11" width="9" bestFit="1" customWidth="1"/>
    <col min="12" max="12" width="23" bestFit="1" customWidth="1"/>
    <col min="13" max="13" width="16.42578125" bestFit="1" customWidth="1"/>
    <col min="14" max="14" width="29" bestFit="1" customWidth="1"/>
    <col min="15" max="15" width="12" bestFit="1" customWidth="1"/>
  </cols>
  <sheetData>
    <row r="1" spans="1:15">
      <c r="A1" s="45" t="s">
        <v>83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15.75">
      <c r="A3" s="33" t="s">
        <v>1</v>
      </c>
      <c r="B3" s="34" t="s">
        <v>84</v>
      </c>
      <c r="C3" s="34" t="s">
        <v>85</v>
      </c>
      <c r="D3" s="34" t="s">
        <v>86</v>
      </c>
      <c r="E3" s="34" t="s">
        <v>87</v>
      </c>
      <c r="F3" s="34" t="s">
        <v>88</v>
      </c>
      <c r="G3" s="34" t="s">
        <v>89</v>
      </c>
      <c r="H3" s="34" t="s">
        <v>90</v>
      </c>
      <c r="I3" s="34" t="s">
        <v>91</v>
      </c>
      <c r="J3" s="34" t="s">
        <v>92</v>
      </c>
      <c r="K3" s="34" t="s">
        <v>93</v>
      </c>
      <c r="L3" s="34" t="s">
        <v>94</v>
      </c>
      <c r="M3" s="34" t="s">
        <v>95</v>
      </c>
      <c r="N3" s="34" t="s">
        <v>96</v>
      </c>
      <c r="O3" s="34" t="s">
        <v>97</v>
      </c>
    </row>
    <row r="4" spans="1:15">
      <c r="A4" s="5" t="s">
        <v>70</v>
      </c>
      <c r="B4" s="6" t="s">
        <v>98</v>
      </c>
      <c r="C4" s="6">
        <v>416</v>
      </c>
      <c r="D4" s="6">
        <v>386</v>
      </c>
      <c r="E4" s="6">
        <v>92.79</v>
      </c>
      <c r="F4" s="6">
        <v>187</v>
      </c>
      <c r="G4" s="6">
        <v>44.95</v>
      </c>
      <c r="H4" s="6">
        <v>168</v>
      </c>
      <c r="I4" s="6">
        <v>40.380000000000003</v>
      </c>
      <c r="J4" s="6">
        <v>414</v>
      </c>
      <c r="K4" s="6">
        <v>99.52</v>
      </c>
      <c r="L4" s="6">
        <v>416</v>
      </c>
      <c r="M4" s="6">
        <v>100</v>
      </c>
      <c r="N4" s="6">
        <v>414</v>
      </c>
      <c r="O4" s="6">
        <v>99.52</v>
      </c>
    </row>
    <row r="5" spans="1:15">
      <c r="A5" s="1" t="s">
        <v>70</v>
      </c>
      <c r="B5" s="2" t="s">
        <v>99</v>
      </c>
      <c r="C5" s="3">
        <v>61948</v>
      </c>
      <c r="D5" s="3">
        <v>61223</v>
      </c>
      <c r="E5" s="2">
        <v>98.83</v>
      </c>
      <c r="F5" s="3">
        <v>34744</v>
      </c>
      <c r="G5" s="2">
        <v>56.09</v>
      </c>
      <c r="H5" s="3">
        <v>7245</v>
      </c>
      <c r="I5" s="2">
        <v>11.7</v>
      </c>
      <c r="J5" s="3">
        <v>60444</v>
      </c>
      <c r="K5" s="2">
        <v>97.57</v>
      </c>
      <c r="L5" s="3">
        <v>61915</v>
      </c>
      <c r="M5" s="2">
        <v>99.95</v>
      </c>
      <c r="N5" s="3">
        <v>59277</v>
      </c>
      <c r="O5" s="2">
        <v>95.69</v>
      </c>
    </row>
    <row r="6" spans="1:15">
      <c r="A6" s="1" t="s">
        <v>70</v>
      </c>
      <c r="B6" s="2" t="s">
        <v>8</v>
      </c>
      <c r="C6" s="3">
        <v>3603</v>
      </c>
      <c r="D6" s="3">
        <v>2402</v>
      </c>
      <c r="E6" s="2">
        <v>66.67</v>
      </c>
      <c r="F6" s="2">
        <v>794</v>
      </c>
      <c r="G6" s="2">
        <v>22.04</v>
      </c>
      <c r="H6" s="2">
        <v>275</v>
      </c>
      <c r="I6" s="2">
        <v>7.63</v>
      </c>
      <c r="J6" s="3">
        <v>1621</v>
      </c>
      <c r="K6" s="2">
        <v>44.99</v>
      </c>
      <c r="L6" s="3">
        <v>2951</v>
      </c>
      <c r="M6" s="2">
        <v>81.900000000000006</v>
      </c>
      <c r="N6" s="3">
        <v>2475</v>
      </c>
      <c r="O6" s="2">
        <v>68.69</v>
      </c>
    </row>
    <row r="7" spans="1:15">
      <c r="A7" s="1" t="s">
        <v>70</v>
      </c>
      <c r="B7" s="2" t="s">
        <v>9</v>
      </c>
      <c r="C7" s="3">
        <v>60859</v>
      </c>
      <c r="D7" s="3">
        <v>46907</v>
      </c>
      <c r="E7" s="2">
        <v>77.069999999999993</v>
      </c>
      <c r="F7" s="3">
        <v>7126</v>
      </c>
      <c r="G7" s="2">
        <v>11.71</v>
      </c>
      <c r="H7" s="3">
        <v>2832</v>
      </c>
      <c r="I7" s="2">
        <v>4.6500000000000004</v>
      </c>
      <c r="J7" s="3">
        <v>53168</v>
      </c>
      <c r="K7" s="2">
        <v>87.36</v>
      </c>
      <c r="L7" s="3">
        <v>57129</v>
      </c>
      <c r="M7" s="2">
        <v>93.87</v>
      </c>
      <c r="N7" s="3">
        <v>50160</v>
      </c>
      <c r="O7" s="2">
        <v>82.42</v>
      </c>
    </row>
    <row r="8" spans="1:15">
      <c r="A8" s="1" t="s">
        <v>70</v>
      </c>
      <c r="B8" s="2" t="s">
        <v>10</v>
      </c>
      <c r="C8" s="3">
        <v>93165</v>
      </c>
      <c r="D8" s="3">
        <v>82686</v>
      </c>
      <c r="E8" s="2">
        <v>88.75</v>
      </c>
      <c r="F8" s="3">
        <v>10381</v>
      </c>
      <c r="G8" s="2">
        <v>11.14</v>
      </c>
      <c r="H8" s="3">
        <v>1910</v>
      </c>
      <c r="I8" s="2">
        <v>2.0499999999999998</v>
      </c>
      <c r="J8" s="3">
        <v>59021</v>
      </c>
      <c r="K8" s="2">
        <v>63.35</v>
      </c>
      <c r="L8" s="3">
        <v>92911</v>
      </c>
      <c r="M8" s="2">
        <v>99.73</v>
      </c>
      <c r="N8" s="3">
        <v>90796</v>
      </c>
      <c r="O8" s="2">
        <v>97.46</v>
      </c>
    </row>
    <row r="9" spans="1:15">
      <c r="A9" s="1" t="s">
        <v>70</v>
      </c>
      <c r="B9" s="2" t="s">
        <v>11</v>
      </c>
      <c r="C9" s="2">
        <v>233</v>
      </c>
      <c r="D9" s="2">
        <v>233</v>
      </c>
      <c r="E9" s="2">
        <v>100</v>
      </c>
      <c r="F9" s="2">
        <v>230</v>
      </c>
      <c r="G9" s="2">
        <v>98.71</v>
      </c>
      <c r="H9" s="2">
        <v>192</v>
      </c>
      <c r="I9" s="2">
        <v>82.4</v>
      </c>
      <c r="J9" s="2">
        <v>229</v>
      </c>
      <c r="K9" s="2">
        <v>98.28</v>
      </c>
      <c r="L9" s="2">
        <v>233</v>
      </c>
      <c r="M9" s="2">
        <v>100</v>
      </c>
      <c r="N9" s="2">
        <v>232</v>
      </c>
      <c r="O9" s="2">
        <v>99.57</v>
      </c>
    </row>
    <row r="10" spans="1:15">
      <c r="A10" s="1" t="s">
        <v>70</v>
      </c>
      <c r="B10" s="2" t="s">
        <v>100</v>
      </c>
      <c r="C10" s="3">
        <v>56512</v>
      </c>
      <c r="D10" s="3">
        <v>54132</v>
      </c>
      <c r="E10" s="2">
        <v>95.79</v>
      </c>
      <c r="F10" s="3">
        <v>20735</v>
      </c>
      <c r="G10" s="2">
        <v>36.69</v>
      </c>
      <c r="H10" s="3">
        <v>3341</v>
      </c>
      <c r="I10" s="2">
        <v>5.91</v>
      </c>
      <c r="J10" s="3">
        <v>55489</v>
      </c>
      <c r="K10" s="2">
        <v>98.19</v>
      </c>
      <c r="L10" s="3">
        <v>56500</v>
      </c>
      <c r="M10" s="2">
        <v>99.98</v>
      </c>
      <c r="N10" s="3">
        <v>54324</v>
      </c>
      <c r="O10" s="2">
        <v>96.13</v>
      </c>
    </row>
    <row r="11" spans="1:15">
      <c r="A11" s="1" t="s">
        <v>70</v>
      </c>
      <c r="B11" s="2" t="s">
        <v>101</v>
      </c>
      <c r="C11" s="2">
        <v>460</v>
      </c>
      <c r="D11" s="2">
        <v>460</v>
      </c>
      <c r="E11" s="2">
        <v>100</v>
      </c>
      <c r="F11" s="2">
        <v>264</v>
      </c>
      <c r="G11" s="2">
        <v>57.39</v>
      </c>
      <c r="H11" s="2">
        <v>176</v>
      </c>
      <c r="I11" s="2">
        <v>38.26</v>
      </c>
      <c r="J11" s="2">
        <v>454</v>
      </c>
      <c r="K11" s="2">
        <v>98.7</v>
      </c>
      <c r="L11" s="2">
        <v>460</v>
      </c>
      <c r="M11" s="2">
        <v>100</v>
      </c>
      <c r="N11" s="2">
        <v>455</v>
      </c>
      <c r="O11" s="2">
        <v>98.91</v>
      </c>
    </row>
    <row r="12" spans="1:15">
      <c r="A12" s="1" t="s">
        <v>70</v>
      </c>
      <c r="B12" s="2" t="s">
        <v>14</v>
      </c>
      <c r="C12" s="3">
        <v>5619</v>
      </c>
      <c r="D12" s="3">
        <v>5619</v>
      </c>
      <c r="E12" s="2">
        <v>100</v>
      </c>
      <c r="F12" s="3">
        <v>5619</v>
      </c>
      <c r="G12" s="2">
        <v>100</v>
      </c>
      <c r="H12" s="3">
        <v>2588</v>
      </c>
      <c r="I12" s="2">
        <v>46.06</v>
      </c>
      <c r="J12" s="3">
        <v>5619</v>
      </c>
      <c r="K12" s="2">
        <v>100</v>
      </c>
      <c r="L12" s="3">
        <v>5619</v>
      </c>
      <c r="M12" s="2">
        <v>100</v>
      </c>
      <c r="N12" s="3">
        <v>4693</v>
      </c>
      <c r="O12" s="2">
        <v>83.52</v>
      </c>
    </row>
    <row r="13" spans="1:15">
      <c r="A13" s="1" t="s">
        <v>70</v>
      </c>
      <c r="B13" s="2" t="s">
        <v>15</v>
      </c>
      <c r="C13" s="3">
        <v>1510</v>
      </c>
      <c r="D13" s="3">
        <v>1510</v>
      </c>
      <c r="E13" s="2">
        <v>100</v>
      </c>
      <c r="F13" s="2">
        <v>879</v>
      </c>
      <c r="G13" s="2">
        <v>58.21</v>
      </c>
      <c r="H13" s="2">
        <v>452</v>
      </c>
      <c r="I13" s="2">
        <v>29.93</v>
      </c>
      <c r="J13" s="3">
        <v>1506</v>
      </c>
      <c r="K13" s="2">
        <v>99.74</v>
      </c>
      <c r="L13" s="3">
        <v>1510</v>
      </c>
      <c r="M13" s="2">
        <v>100</v>
      </c>
      <c r="N13" s="3">
        <v>1498</v>
      </c>
      <c r="O13" s="2">
        <v>99.21</v>
      </c>
    </row>
    <row r="14" spans="1:15">
      <c r="A14" s="1" t="s">
        <v>70</v>
      </c>
      <c r="B14" s="2" t="s">
        <v>16</v>
      </c>
      <c r="C14" s="3">
        <v>53851</v>
      </c>
      <c r="D14" s="3">
        <v>53829</v>
      </c>
      <c r="E14" s="2">
        <v>99.96</v>
      </c>
      <c r="F14" s="3">
        <v>49522</v>
      </c>
      <c r="G14" s="2">
        <v>91.96</v>
      </c>
      <c r="H14" s="3">
        <v>11176</v>
      </c>
      <c r="I14" s="2">
        <v>20.75</v>
      </c>
      <c r="J14" s="3">
        <v>51693</v>
      </c>
      <c r="K14" s="2">
        <v>95.99</v>
      </c>
      <c r="L14" s="3">
        <v>53836</v>
      </c>
      <c r="M14" s="2">
        <v>99.97</v>
      </c>
      <c r="N14" s="3">
        <v>51555</v>
      </c>
      <c r="O14" s="2">
        <v>95.74</v>
      </c>
    </row>
    <row r="15" spans="1:15">
      <c r="A15" s="1" t="s">
        <v>70</v>
      </c>
      <c r="B15" s="2" t="s">
        <v>17</v>
      </c>
      <c r="C15" s="3">
        <v>23726</v>
      </c>
      <c r="D15" s="3">
        <v>23522</v>
      </c>
      <c r="E15" s="2">
        <v>99.14</v>
      </c>
      <c r="F15" s="3">
        <v>12158</v>
      </c>
      <c r="G15" s="2">
        <v>51.24</v>
      </c>
      <c r="H15" s="3">
        <v>6790</v>
      </c>
      <c r="I15" s="2">
        <v>28.62</v>
      </c>
      <c r="J15" s="3">
        <v>23026</v>
      </c>
      <c r="K15" s="2">
        <v>97.05</v>
      </c>
      <c r="L15" s="3">
        <v>23670</v>
      </c>
      <c r="M15" s="2">
        <v>99.76</v>
      </c>
      <c r="N15" s="3">
        <v>22618</v>
      </c>
      <c r="O15" s="2">
        <v>95.33</v>
      </c>
    </row>
    <row r="16" spans="1:15">
      <c r="A16" s="1" t="s">
        <v>70</v>
      </c>
      <c r="B16" s="2" t="s">
        <v>18</v>
      </c>
      <c r="C16" s="3">
        <v>18028</v>
      </c>
      <c r="D16" s="3">
        <v>17785</v>
      </c>
      <c r="E16" s="2">
        <v>98.65</v>
      </c>
      <c r="F16" s="3">
        <v>6215</v>
      </c>
      <c r="G16" s="2">
        <v>34.47</v>
      </c>
      <c r="H16" s="3">
        <v>2690</v>
      </c>
      <c r="I16" s="2">
        <v>14.92</v>
      </c>
      <c r="J16" s="3">
        <v>17294</v>
      </c>
      <c r="K16" s="2">
        <v>95.93</v>
      </c>
      <c r="L16" s="3">
        <v>18024</v>
      </c>
      <c r="M16" s="2">
        <v>99.98</v>
      </c>
      <c r="N16" s="3">
        <v>17741</v>
      </c>
      <c r="O16" s="2">
        <v>98.41</v>
      </c>
    </row>
    <row r="17" spans="1:15">
      <c r="A17" s="1" t="s">
        <v>70</v>
      </c>
      <c r="B17" s="2" t="s">
        <v>19</v>
      </c>
      <c r="C17" s="3">
        <v>28805</v>
      </c>
      <c r="D17" s="3">
        <v>22054</v>
      </c>
      <c r="E17" s="2">
        <v>76.56</v>
      </c>
      <c r="F17" s="3">
        <v>8566</v>
      </c>
      <c r="G17" s="2">
        <v>29.74</v>
      </c>
      <c r="H17" s="3">
        <v>2841</v>
      </c>
      <c r="I17" s="2">
        <v>9.86</v>
      </c>
      <c r="J17" s="3">
        <v>20791</v>
      </c>
      <c r="K17" s="2">
        <v>72.180000000000007</v>
      </c>
      <c r="L17" s="3">
        <v>28045</v>
      </c>
      <c r="M17" s="2">
        <v>97.36</v>
      </c>
      <c r="N17" s="3">
        <v>23728</v>
      </c>
      <c r="O17" s="2">
        <v>82.37</v>
      </c>
    </row>
    <row r="18" spans="1:15">
      <c r="A18" s="1" t="s">
        <v>70</v>
      </c>
      <c r="B18" s="2" t="s">
        <v>20</v>
      </c>
      <c r="C18" s="3">
        <v>44855</v>
      </c>
      <c r="D18" s="3">
        <v>42723</v>
      </c>
      <c r="E18" s="2">
        <v>95.25</v>
      </c>
      <c r="F18" s="3">
        <v>16726</v>
      </c>
      <c r="G18" s="2">
        <v>37.29</v>
      </c>
      <c r="H18" s="3">
        <v>2762</v>
      </c>
      <c r="I18" s="2">
        <v>6.16</v>
      </c>
      <c r="J18" s="3">
        <v>42119</v>
      </c>
      <c r="K18" s="2">
        <v>93.9</v>
      </c>
      <c r="L18" s="3">
        <v>44082</v>
      </c>
      <c r="M18" s="2">
        <v>98.28</v>
      </c>
      <c r="N18" s="3">
        <v>43287</v>
      </c>
      <c r="O18" s="2">
        <v>96.5</v>
      </c>
    </row>
    <row r="19" spans="1:15">
      <c r="A19" s="1" t="s">
        <v>70</v>
      </c>
      <c r="B19" s="2" t="s">
        <v>21</v>
      </c>
      <c r="C19" s="3">
        <v>76450</v>
      </c>
      <c r="D19" s="3">
        <v>75736</v>
      </c>
      <c r="E19" s="2">
        <v>99.07</v>
      </c>
      <c r="F19" s="3">
        <v>22590</v>
      </c>
      <c r="G19" s="2">
        <v>29.55</v>
      </c>
      <c r="H19" s="3">
        <v>8811</v>
      </c>
      <c r="I19" s="2">
        <v>11.53</v>
      </c>
      <c r="J19" s="3">
        <v>73678</v>
      </c>
      <c r="K19" s="2">
        <v>96.37</v>
      </c>
      <c r="L19" s="3">
        <v>76230</v>
      </c>
      <c r="M19" s="2">
        <v>99.71</v>
      </c>
      <c r="N19" s="3">
        <v>74349</v>
      </c>
      <c r="O19" s="2">
        <v>97.25</v>
      </c>
    </row>
    <row r="20" spans="1:15">
      <c r="A20" s="1" t="s">
        <v>70</v>
      </c>
      <c r="B20" s="2" t="s">
        <v>22</v>
      </c>
      <c r="C20" s="3">
        <v>16240</v>
      </c>
      <c r="D20" s="3">
        <v>16170</v>
      </c>
      <c r="E20" s="2">
        <v>99.57</v>
      </c>
      <c r="F20" s="3">
        <v>15459</v>
      </c>
      <c r="G20" s="2">
        <v>95.19</v>
      </c>
      <c r="H20" s="3">
        <v>13578</v>
      </c>
      <c r="I20" s="2">
        <v>83.61</v>
      </c>
      <c r="J20" s="3">
        <v>15987</v>
      </c>
      <c r="K20" s="2">
        <v>98.44</v>
      </c>
      <c r="L20" s="3">
        <v>16218</v>
      </c>
      <c r="M20" s="2">
        <v>99.86</v>
      </c>
      <c r="N20" s="3">
        <v>16084</v>
      </c>
      <c r="O20" s="2">
        <v>99.04</v>
      </c>
    </row>
    <row r="21" spans="1:15">
      <c r="A21" s="1" t="s">
        <v>70</v>
      </c>
      <c r="B21" s="2" t="s">
        <v>23</v>
      </c>
      <c r="C21" s="2">
        <v>978</v>
      </c>
      <c r="D21" s="2">
        <v>913</v>
      </c>
      <c r="E21" s="2">
        <v>93.35</v>
      </c>
      <c r="F21" s="2">
        <v>418</v>
      </c>
      <c r="G21" s="2">
        <v>42.74</v>
      </c>
      <c r="H21" s="2">
        <v>159</v>
      </c>
      <c r="I21" s="2">
        <v>16.260000000000002</v>
      </c>
      <c r="J21" s="2">
        <v>954</v>
      </c>
      <c r="K21" s="2">
        <v>97.55</v>
      </c>
      <c r="L21" s="2">
        <v>973</v>
      </c>
      <c r="M21" s="2">
        <v>99.49</v>
      </c>
      <c r="N21" s="2">
        <v>879</v>
      </c>
      <c r="O21" s="2">
        <v>89.88</v>
      </c>
    </row>
    <row r="22" spans="1:15">
      <c r="A22" s="1" t="s">
        <v>70</v>
      </c>
      <c r="B22" s="2" t="s">
        <v>24</v>
      </c>
      <c r="C22" s="2">
        <v>38</v>
      </c>
      <c r="D22" s="2">
        <v>38</v>
      </c>
      <c r="E22" s="2">
        <v>100</v>
      </c>
      <c r="F22" s="2">
        <v>37</v>
      </c>
      <c r="G22" s="2">
        <v>97.37</v>
      </c>
      <c r="H22" s="2">
        <v>30</v>
      </c>
      <c r="I22" s="2">
        <v>78.95</v>
      </c>
      <c r="J22" s="2">
        <v>38</v>
      </c>
      <c r="K22" s="2">
        <v>100</v>
      </c>
      <c r="L22" s="2">
        <v>38</v>
      </c>
      <c r="M22" s="2">
        <v>100</v>
      </c>
      <c r="N22" s="2">
        <v>38</v>
      </c>
      <c r="O22" s="2">
        <v>100</v>
      </c>
    </row>
    <row r="23" spans="1:15">
      <c r="A23" s="1" t="s">
        <v>70</v>
      </c>
      <c r="B23" s="2" t="s">
        <v>25</v>
      </c>
      <c r="C23" s="3">
        <v>125582</v>
      </c>
      <c r="D23" s="3">
        <v>96841</v>
      </c>
      <c r="E23" s="2">
        <v>77.11</v>
      </c>
      <c r="F23" s="3">
        <v>34562</v>
      </c>
      <c r="G23" s="2">
        <v>27.52</v>
      </c>
      <c r="H23" s="3">
        <v>3441</v>
      </c>
      <c r="I23" s="2">
        <v>2.74</v>
      </c>
      <c r="J23" s="3">
        <v>119074</v>
      </c>
      <c r="K23" s="2">
        <v>94.82</v>
      </c>
      <c r="L23" s="3">
        <v>123599</v>
      </c>
      <c r="M23" s="2">
        <v>98.42</v>
      </c>
      <c r="N23" s="3">
        <v>119032</v>
      </c>
      <c r="O23" s="2">
        <v>94.78</v>
      </c>
    </row>
    <row r="24" spans="1:15">
      <c r="A24" s="1" t="s">
        <v>70</v>
      </c>
      <c r="B24" s="2" t="s">
        <v>26</v>
      </c>
      <c r="C24" s="3">
        <v>109605</v>
      </c>
      <c r="D24" s="3">
        <v>104094</v>
      </c>
      <c r="E24" s="2">
        <v>94.97</v>
      </c>
      <c r="F24" s="3">
        <v>52553</v>
      </c>
      <c r="G24" s="2">
        <v>47.95</v>
      </c>
      <c r="H24" s="3">
        <v>27327</v>
      </c>
      <c r="I24" s="2">
        <v>24.93</v>
      </c>
      <c r="J24" s="3">
        <v>107155</v>
      </c>
      <c r="K24" s="2">
        <v>97.76</v>
      </c>
      <c r="L24" s="3">
        <v>109026</v>
      </c>
      <c r="M24" s="2">
        <v>99.47</v>
      </c>
      <c r="N24" s="3">
        <v>102703</v>
      </c>
      <c r="O24" s="2">
        <v>93.7</v>
      </c>
    </row>
    <row r="25" spans="1:15">
      <c r="A25" s="1" t="s">
        <v>70</v>
      </c>
      <c r="B25" s="2" t="s">
        <v>27</v>
      </c>
      <c r="C25" s="3">
        <v>4617</v>
      </c>
      <c r="D25" s="3">
        <v>3071</v>
      </c>
      <c r="E25" s="2">
        <v>66.52</v>
      </c>
      <c r="F25" s="3">
        <v>1065</v>
      </c>
      <c r="G25" s="2">
        <v>23.07</v>
      </c>
      <c r="H25" s="2">
        <v>203</v>
      </c>
      <c r="I25" s="2">
        <v>4.4000000000000004</v>
      </c>
      <c r="J25" s="3">
        <v>1187</v>
      </c>
      <c r="K25" s="2">
        <v>25.71</v>
      </c>
      <c r="L25" s="3">
        <v>4564</v>
      </c>
      <c r="M25" s="2">
        <v>98.85</v>
      </c>
      <c r="N25" s="3">
        <v>3475</v>
      </c>
      <c r="O25" s="2">
        <v>75.27</v>
      </c>
    </row>
    <row r="26" spans="1:15">
      <c r="A26" s="1" t="s">
        <v>70</v>
      </c>
      <c r="B26" s="2" t="s">
        <v>28</v>
      </c>
      <c r="C26" s="3">
        <v>14600</v>
      </c>
      <c r="D26" s="3">
        <v>3873</v>
      </c>
      <c r="E26" s="2">
        <v>26.53</v>
      </c>
      <c r="F26" s="3">
        <v>2460</v>
      </c>
      <c r="G26" s="2">
        <v>16.850000000000001</v>
      </c>
      <c r="H26" s="2">
        <v>289</v>
      </c>
      <c r="I26" s="2">
        <v>1.98</v>
      </c>
      <c r="J26" s="3">
        <v>3468</v>
      </c>
      <c r="K26" s="2">
        <v>23.75</v>
      </c>
      <c r="L26" s="3">
        <v>7743</v>
      </c>
      <c r="M26" s="2">
        <v>53.03</v>
      </c>
      <c r="N26" s="3">
        <v>10163</v>
      </c>
      <c r="O26" s="2">
        <v>69.61</v>
      </c>
    </row>
    <row r="27" spans="1:15">
      <c r="A27" s="1" t="s">
        <v>70</v>
      </c>
      <c r="B27" s="2" t="s">
        <v>29</v>
      </c>
      <c r="C27" s="3">
        <v>3911</v>
      </c>
      <c r="D27" s="3">
        <v>3297</v>
      </c>
      <c r="E27" s="2">
        <v>84.3</v>
      </c>
      <c r="F27" s="2">
        <v>307</v>
      </c>
      <c r="G27" s="2">
        <v>7.85</v>
      </c>
      <c r="H27" s="2">
        <v>59</v>
      </c>
      <c r="I27" s="2">
        <v>1.51</v>
      </c>
      <c r="J27" s="3">
        <v>3230</v>
      </c>
      <c r="K27" s="2">
        <v>82.59</v>
      </c>
      <c r="L27" s="3">
        <v>3587</v>
      </c>
      <c r="M27" s="2">
        <v>91.72</v>
      </c>
      <c r="N27" s="3">
        <v>3396</v>
      </c>
      <c r="O27" s="2">
        <v>86.83</v>
      </c>
    </row>
    <row r="28" spans="1:15">
      <c r="A28" s="1" t="s">
        <v>70</v>
      </c>
      <c r="B28" s="2" t="s">
        <v>30</v>
      </c>
      <c r="C28" s="3">
        <v>2718</v>
      </c>
      <c r="D28" s="3">
        <v>2074</v>
      </c>
      <c r="E28" s="2">
        <v>76.31</v>
      </c>
      <c r="F28" s="3">
        <v>1383</v>
      </c>
      <c r="G28" s="2">
        <v>50.88</v>
      </c>
      <c r="H28" s="2">
        <v>309</v>
      </c>
      <c r="I28" s="2">
        <v>11.37</v>
      </c>
      <c r="J28" s="3">
        <v>1966</v>
      </c>
      <c r="K28" s="2">
        <v>72.33</v>
      </c>
      <c r="L28" s="3">
        <v>1796</v>
      </c>
      <c r="M28" s="2">
        <v>66.08</v>
      </c>
      <c r="N28" s="3">
        <v>2095</v>
      </c>
      <c r="O28" s="2">
        <v>77.08</v>
      </c>
    </row>
    <row r="29" spans="1:15">
      <c r="A29" s="1" t="s">
        <v>70</v>
      </c>
      <c r="B29" s="2" t="s">
        <v>31</v>
      </c>
      <c r="C29" s="3">
        <v>62291</v>
      </c>
      <c r="D29" s="3">
        <v>52506</v>
      </c>
      <c r="E29" s="2">
        <v>84.29</v>
      </c>
      <c r="F29" s="3">
        <v>9284</v>
      </c>
      <c r="G29" s="2">
        <v>14.9</v>
      </c>
      <c r="H29" s="3">
        <v>3865</v>
      </c>
      <c r="I29" s="2">
        <v>6.2</v>
      </c>
      <c r="J29" s="3">
        <v>58960</v>
      </c>
      <c r="K29" s="2">
        <v>94.65</v>
      </c>
      <c r="L29" s="3">
        <v>61566</v>
      </c>
      <c r="M29" s="2">
        <v>98.84</v>
      </c>
      <c r="N29" s="3">
        <v>56141</v>
      </c>
      <c r="O29" s="2">
        <v>90.13</v>
      </c>
    </row>
    <row r="30" spans="1:15">
      <c r="A30" s="1" t="s">
        <v>70</v>
      </c>
      <c r="B30" s="2" t="s">
        <v>32</v>
      </c>
      <c r="C30" s="2">
        <v>736</v>
      </c>
      <c r="D30" s="2">
        <v>736</v>
      </c>
      <c r="E30" s="2">
        <v>100</v>
      </c>
      <c r="F30" s="2">
        <v>724</v>
      </c>
      <c r="G30" s="2">
        <v>98.37</v>
      </c>
      <c r="H30" s="2">
        <v>415</v>
      </c>
      <c r="I30" s="2">
        <v>56.39</v>
      </c>
      <c r="J30" s="2">
        <v>733</v>
      </c>
      <c r="K30" s="2">
        <v>99.59</v>
      </c>
      <c r="L30" s="2">
        <v>736</v>
      </c>
      <c r="M30" s="2">
        <v>100</v>
      </c>
      <c r="N30" s="2">
        <v>710</v>
      </c>
      <c r="O30" s="2">
        <v>96.47</v>
      </c>
    </row>
    <row r="31" spans="1:15">
      <c r="A31" s="1" t="s">
        <v>70</v>
      </c>
      <c r="B31" s="2" t="s">
        <v>33</v>
      </c>
      <c r="C31" s="3">
        <v>27701</v>
      </c>
      <c r="D31" s="3">
        <v>27698</v>
      </c>
      <c r="E31" s="2">
        <v>99.99</v>
      </c>
      <c r="F31" s="3">
        <v>16429</v>
      </c>
      <c r="G31" s="2">
        <v>59.31</v>
      </c>
      <c r="H31" s="3">
        <v>13146</v>
      </c>
      <c r="I31" s="2">
        <v>47.46</v>
      </c>
      <c r="J31" s="3">
        <v>27577</v>
      </c>
      <c r="K31" s="2">
        <v>99.55</v>
      </c>
      <c r="L31" s="3">
        <v>27699</v>
      </c>
      <c r="M31" s="2">
        <v>99.99</v>
      </c>
      <c r="N31" s="3">
        <v>27322</v>
      </c>
      <c r="O31" s="2">
        <v>98.63</v>
      </c>
    </row>
    <row r="32" spans="1:15">
      <c r="A32" s="1" t="s">
        <v>70</v>
      </c>
      <c r="B32" s="2" t="s">
        <v>34</v>
      </c>
      <c r="C32" s="3">
        <v>106373</v>
      </c>
      <c r="D32" s="3">
        <v>93298</v>
      </c>
      <c r="E32" s="2">
        <v>87.71</v>
      </c>
      <c r="F32" s="3">
        <v>63674</v>
      </c>
      <c r="G32" s="2">
        <v>59.86</v>
      </c>
      <c r="H32" s="3">
        <v>10595</v>
      </c>
      <c r="I32" s="2">
        <v>9.9600000000000009</v>
      </c>
      <c r="J32" s="3">
        <v>82439</v>
      </c>
      <c r="K32" s="2">
        <v>77.5</v>
      </c>
      <c r="L32" s="3">
        <v>104188</v>
      </c>
      <c r="M32" s="2">
        <v>97.95</v>
      </c>
      <c r="N32" s="3">
        <v>98485</v>
      </c>
      <c r="O32" s="2">
        <v>92.58</v>
      </c>
    </row>
    <row r="33" spans="1:15">
      <c r="A33" s="1" t="s">
        <v>70</v>
      </c>
      <c r="B33" s="2" t="s">
        <v>35</v>
      </c>
      <c r="C33" s="3">
        <v>1259</v>
      </c>
      <c r="D33" s="3">
        <v>1254</v>
      </c>
      <c r="E33" s="2">
        <v>99.6</v>
      </c>
      <c r="F33" s="2">
        <v>434</v>
      </c>
      <c r="G33" s="2">
        <v>34.47</v>
      </c>
      <c r="H33" s="2">
        <v>405</v>
      </c>
      <c r="I33" s="2">
        <v>32.17</v>
      </c>
      <c r="J33" s="3">
        <v>1132</v>
      </c>
      <c r="K33" s="2">
        <v>89.91</v>
      </c>
      <c r="L33" s="3">
        <v>1253</v>
      </c>
      <c r="M33" s="2">
        <v>99.52</v>
      </c>
      <c r="N33" s="3">
        <v>1160</v>
      </c>
      <c r="O33" s="2">
        <v>92.14</v>
      </c>
    </row>
    <row r="34" spans="1:15">
      <c r="A34" s="1" t="s">
        <v>70</v>
      </c>
      <c r="B34" s="2" t="s">
        <v>36</v>
      </c>
      <c r="C34" s="3">
        <v>58801</v>
      </c>
      <c r="D34" s="3">
        <v>58801</v>
      </c>
      <c r="E34" s="2">
        <v>100</v>
      </c>
      <c r="F34" s="3">
        <v>22086</v>
      </c>
      <c r="G34" s="2">
        <v>37.56</v>
      </c>
      <c r="H34" s="3">
        <v>5815</v>
      </c>
      <c r="I34" s="2">
        <v>9.89</v>
      </c>
      <c r="J34" s="3">
        <v>58801</v>
      </c>
      <c r="K34" s="2">
        <v>100</v>
      </c>
      <c r="L34" s="3">
        <v>58801</v>
      </c>
      <c r="M34" s="2">
        <v>100</v>
      </c>
      <c r="N34" s="3">
        <v>58080</v>
      </c>
      <c r="O34" s="2">
        <v>98.77</v>
      </c>
    </row>
    <row r="35" spans="1:15">
      <c r="A35" s="1" t="s">
        <v>70</v>
      </c>
      <c r="B35" s="2" t="s">
        <v>37</v>
      </c>
      <c r="C35" s="3">
        <v>43083</v>
      </c>
      <c r="D35" s="3">
        <v>40437</v>
      </c>
      <c r="E35" s="2">
        <v>93.86</v>
      </c>
      <c r="F35" s="3">
        <v>9887</v>
      </c>
      <c r="G35" s="2">
        <v>22.95</v>
      </c>
      <c r="H35" s="3">
        <v>1774</v>
      </c>
      <c r="I35" s="2">
        <v>4.12</v>
      </c>
      <c r="J35" s="3">
        <v>39510</v>
      </c>
      <c r="K35" s="2">
        <v>91.71</v>
      </c>
      <c r="L35" s="3">
        <v>41105</v>
      </c>
      <c r="M35" s="2">
        <v>95.41</v>
      </c>
      <c r="N35" s="3">
        <v>33428</v>
      </c>
      <c r="O35" s="2">
        <v>77.59</v>
      </c>
    </row>
    <row r="36" spans="1:15">
      <c r="A36" s="1" t="s">
        <v>70</v>
      </c>
      <c r="B36" s="2" t="s">
        <v>38</v>
      </c>
      <c r="C36" s="3">
        <v>4929</v>
      </c>
      <c r="D36" s="3">
        <v>2826</v>
      </c>
      <c r="E36" s="2">
        <v>57.33</v>
      </c>
      <c r="F36" s="2">
        <v>896</v>
      </c>
      <c r="G36" s="2">
        <v>18.18</v>
      </c>
      <c r="H36" s="2">
        <v>474</v>
      </c>
      <c r="I36" s="2">
        <v>9.6199999999999992</v>
      </c>
      <c r="J36" s="3">
        <v>3493</v>
      </c>
      <c r="K36" s="2">
        <v>70.87</v>
      </c>
      <c r="L36" s="3">
        <v>4137</v>
      </c>
      <c r="M36" s="2">
        <v>83.93</v>
      </c>
      <c r="N36" s="3">
        <v>3671</v>
      </c>
      <c r="O36" s="2">
        <v>74.48</v>
      </c>
    </row>
    <row r="37" spans="1:15">
      <c r="A37" s="1" t="s">
        <v>70</v>
      </c>
      <c r="B37" s="2" t="s">
        <v>39</v>
      </c>
      <c r="C37" s="3">
        <v>258054</v>
      </c>
      <c r="D37" s="3">
        <v>218099</v>
      </c>
      <c r="E37" s="2">
        <v>84.52</v>
      </c>
      <c r="F37" s="3">
        <v>54554</v>
      </c>
      <c r="G37" s="2">
        <v>21.14</v>
      </c>
      <c r="H37" s="3">
        <v>8270</v>
      </c>
      <c r="I37" s="2">
        <v>3.2</v>
      </c>
      <c r="J37" s="3">
        <v>203962</v>
      </c>
      <c r="K37" s="2">
        <v>79.040000000000006</v>
      </c>
      <c r="L37" s="3">
        <v>255731</v>
      </c>
      <c r="M37" s="2">
        <v>99.1</v>
      </c>
      <c r="N37" s="3">
        <v>249626</v>
      </c>
      <c r="O37" s="2">
        <v>96.73</v>
      </c>
    </row>
    <row r="38" spans="1:15">
      <c r="A38" s="1" t="s">
        <v>70</v>
      </c>
      <c r="B38" s="2" t="s">
        <v>40</v>
      </c>
      <c r="C38" s="3">
        <v>22815</v>
      </c>
      <c r="D38" s="3">
        <v>20890</v>
      </c>
      <c r="E38" s="2">
        <v>91.56</v>
      </c>
      <c r="F38" s="3">
        <v>6245</v>
      </c>
      <c r="G38" s="2">
        <v>27.37</v>
      </c>
      <c r="H38" s="3">
        <v>3541</v>
      </c>
      <c r="I38" s="2">
        <v>15.52</v>
      </c>
      <c r="J38" s="3">
        <v>20886</v>
      </c>
      <c r="K38" s="2">
        <v>91.55</v>
      </c>
      <c r="L38" s="3">
        <v>22218</v>
      </c>
      <c r="M38" s="2">
        <v>97.38</v>
      </c>
      <c r="N38" s="3">
        <v>20598</v>
      </c>
      <c r="O38" s="2">
        <v>90.28</v>
      </c>
    </row>
    <row r="39" spans="1:15">
      <c r="A39" s="1" t="s">
        <v>70</v>
      </c>
      <c r="B39" s="2" t="s">
        <v>41</v>
      </c>
      <c r="C39" s="3">
        <v>94744</v>
      </c>
      <c r="D39" s="3">
        <v>92182</v>
      </c>
      <c r="E39" s="2">
        <v>97.3</v>
      </c>
      <c r="F39" s="3">
        <v>15796</v>
      </c>
      <c r="G39" s="2">
        <v>16.670000000000002</v>
      </c>
      <c r="H39" s="3">
        <v>8120</v>
      </c>
      <c r="I39" s="2">
        <v>8.57</v>
      </c>
      <c r="J39" s="3">
        <v>82811</v>
      </c>
      <c r="K39" s="2">
        <v>87.41</v>
      </c>
      <c r="L39" s="3">
        <v>94261</v>
      </c>
      <c r="M39" s="2">
        <v>99.49</v>
      </c>
      <c r="N39" s="3">
        <v>93617</v>
      </c>
      <c r="O39" s="2">
        <v>98.81</v>
      </c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5" t="s">
        <v>74</v>
      </c>
      <c r="B41" s="6" t="s">
        <v>98</v>
      </c>
      <c r="C41" s="6">
        <v>414</v>
      </c>
      <c r="D41" s="6">
        <v>383</v>
      </c>
      <c r="E41" s="6">
        <v>92.51</v>
      </c>
      <c r="F41" s="6">
        <v>209</v>
      </c>
      <c r="G41" s="6">
        <v>50.48</v>
      </c>
      <c r="H41" s="6">
        <v>284</v>
      </c>
      <c r="I41" s="6">
        <v>68.599999999999994</v>
      </c>
      <c r="J41" s="6">
        <v>412</v>
      </c>
      <c r="K41" s="6">
        <v>99.52</v>
      </c>
      <c r="L41" s="6">
        <v>414</v>
      </c>
      <c r="M41" s="6">
        <v>100</v>
      </c>
      <c r="N41" s="6">
        <v>414</v>
      </c>
      <c r="O41" s="6">
        <v>100</v>
      </c>
    </row>
    <row r="42" spans="1:15">
      <c r="A42" s="1" t="s">
        <v>74</v>
      </c>
      <c r="B42" s="2" t="s">
        <v>99</v>
      </c>
      <c r="C42" s="2">
        <v>61680</v>
      </c>
      <c r="D42" s="2">
        <v>61509</v>
      </c>
      <c r="E42" s="2">
        <v>99.72</v>
      </c>
      <c r="F42" s="2">
        <v>61422</v>
      </c>
      <c r="G42" s="2">
        <v>99.58</v>
      </c>
      <c r="H42" s="2">
        <v>57855</v>
      </c>
      <c r="I42" s="2">
        <v>93.8</v>
      </c>
      <c r="J42" s="2">
        <v>61678</v>
      </c>
      <c r="K42" s="2">
        <v>100</v>
      </c>
      <c r="L42" s="2">
        <v>61676</v>
      </c>
      <c r="M42" s="2">
        <v>99.99</v>
      </c>
      <c r="N42" s="2">
        <v>60636</v>
      </c>
      <c r="O42" s="2">
        <v>98.31</v>
      </c>
    </row>
    <row r="43" spans="1:15">
      <c r="A43" s="1" t="s">
        <v>74</v>
      </c>
      <c r="B43" s="2" t="s">
        <v>8</v>
      </c>
      <c r="C43" s="2">
        <v>3543</v>
      </c>
      <c r="D43" s="2">
        <v>2426</v>
      </c>
      <c r="E43" s="2">
        <v>68.47</v>
      </c>
      <c r="F43" s="2">
        <v>935</v>
      </c>
      <c r="G43" s="2">
        <v>26.39</v>
      </c>
      <c r="H43" s="2">
        <v>1292</v>
      </c>
      <c r="I43" s="2">
        <v>36.47</v>
      </c>
      <c r="J43" s="2">
        <v>1557</v>
      </c>
      <c r="K43" s="2">
        <v>43.95</v>
      </c>
      <c r="L43" s="2">
        <v>2953</v>
      </c>
      <c r="M43" s="2">
        <v>83.35</v>
      </c>
      <c r="N43" s="2">
        <v>2448</v>
      </c>
      <c r="O43" s="2">
        <v>69.09</v>
      </c>
    </row>
    <row r="44" spans="1:15">
      <c r="A44" s="1" t="s">
        <v>74</v>
      </c>
      <c r="B44" s="2" t="s">
        <v>9</v>
      </c>
      <c r="C44" s="2">
        <v>58876</v>
      </c>
      <c r="D44" s="2">
        <v>50268</v>
      </c>
      <c r="E44" s="2">
        <v>85.38</v>
      </c>
      <c r="F44" s="2">
        <v>9415</v>
      </c>
      <c r="G44" s="2">
        <v>15.99</v>
      </c>
      <c r="H44" s="2">
        <v>10481</v>
      </c>
      <c r="I44" s="2">
        <v>17.8</v>
      </c>
      <c r="J44" s="2">
        <v>52520</v>
      </c>
      <c r="K44" s="2">
        <v>89.2</v>
      </c>
      <c r="L44" s="2">
        <v>56071</v>
      </c>
      <c r="M44" s="2">
        <v>95.24</v>
      </c>
      <c r="N44" s="2">
        <v>50701</v>
      </c>
      <c r="O44" s="2">
        <v>86.11</v>
      </c>
    </row>
    <row r="45" spans="1:15">
      <c r="A45" s="1" t="s">
        <v>74</v>
      </c>
      <c r="B45" s="2" t="s">
        <v>10</v>
      </c>
      <c r="C45" s="2">
        <v>91447</v>
      </c>
      <c r="D45" s="2">
        <v>76731</v>
      </c>
      <c r="E45" s="2">
        <v>83.91</v>
      </c>
      <c r="F45" s="2">
        <v>15381</v>
      </c>
      <c r="G45" s="2">
        <v>16.82</v>
      </c>
      <c r="H45" s="2">
        <v>15411</v>
      </c>
      <c r="I45" s="2">
        <v>16.850000000000001</v>
      </c>
      <c r="J45" s="2">
        <v>54535</v>
      </c>
      <c r="K45" s="2">
        <v>59.64</v>
      </c>
      <c r="L45" s="2">
        <v>87575</v>
      </c>
      <c r="M45" s="2">
        <v>95.77</v>
      </c>
      <c r="N45" s="2">
        <v>85225</v>
      </c>
      <c r="O45" s="2">
        <v>93.2</v>
      </c>
    </row>
    <row r="46" spans="1:15">
      <c r="A46" s="1" t="s">
        <v>74</v>
      </c>
      <c r="B46" s="2" t="s">
        <v>11</v>
      </c>
      <c r="C46" s="2">
        <v>230</v>
      </c>
      <c r="D46" s="2">
        <v>230</v>
      </c>
      <c r="E46" s="2">
        <v>100</v>
      </c>
      <c r="F46" s="2">
        <v>228</v>
      </c>
      <c r="G46" s="2">
        <v>99.13</v>
      </c>
      <c r="H46" s="2">
        <v>230</v>
      </c>
      <c r="I46" s="2">
        <v>100</v>
      </c>
      <c r="J46" s="2">
        <v>226</v>
      </c>
      <c r="K46" s="2">
        <v>98.26</v>
      </c>
      <c r="L46" s="2">
        <v>230</v>
      </c>
      <c r="M46" s="2">
        <v>100</v>
      </c>
      <c r="N46" s="2">
        <v>229</v>
      </c>
      <c r="O46" s="2">
        <v>99.57</v>
      </c>
    </row>
    <row r="47" spans="1:15">
      <c r="A47" s="1" t="s">
        <v>74</v>
      </c>
      <c r="B47" s="2" t="s">
        <v>100</v>
      </c>
      <c r="C47" s="2">
        <v>56333</v>
      </c>
      <c r="D47" s="2">
        <v>53878</v>
      </c>
      <c r="E47" s="2">
        <v>95.64</v>
      </c>
      <c r="F47" s="2">
        <v>34356</v>
      </c>
      <c r="G47" s="2">
        <v>60.99</v>
      </c>
      <c r="H47" s="2">
        <v>36778</v>
      </c>
      <c r="I47" s="2">
        <v>65.290000000000006</v>
      </c>
      <c r="J47" s="2">
        <v>55318</v>
      </c>
      <c r="K47" s="2">
        <v>98.2</v>
      </c>
      <c r="L47" s="2">
        <v>56078</v>
      </c>
      <c r="M47" s="2">
        <v>99.55</v>
      </c>
      <c r="N47" s="2">
        <v>52589</v>
      </c>
      <c r="O47" s="2">
        <v>93.35</v>
      </c>
    </row>
    <row r="48" spans="1:15">
      <c r="A48" s="1" t="s">
        <v>74</v>
      </c>
      <c r="B48" s="2" t="s">
        <v>101</v>
      </c>
      <c r="C48" s="2">
        <v>459</v>
      </c>
      <c r="D48" s="2">
        <v>459</v>
      </c>
      <c r="E48" s="2">
        <v>100</v>
      </c>
      <c r="F48" s="2">
        <v>400</v>
      </c>
      <c r="G48" s="2">
        <v>87.15</v>
      </c>
      <c r="H48" s="2">
        <v>437</v>
      </c>
      <c r="I48" s="2">
        <v>95.21</v>
      </c>
      <c r="J48" s="2">
        <v>459</v>
      </c>
      <c r="K48" s="2">
        <v>100</v>
      </c>
      <c r="L48" s="2">
        <v>459</v>
      </c>
      <c r="M48" s="2">
        <v>100</v>
      </c>
      <c r="N48" s="2">
        <v>456</v>
      </c>
      <c r="O48" s="2">
        <v>99.35</v>
      </c>
    </row>
    <row r="49" spans="1:15">
      <c r="A49" s="1" t="s">
        <v>74</v>
      </c>
      <c r="B49" s="2" t="s">
        <v>14</v>
      </c>
      <c r="C49" s="2">
        <v>5488</v>
      </c>
      <c r="D49" s="2">
        <v>5488</v>
      </c>
      <c r="E49" s="2">
        <v>100</v>
      </c>
      <c r="F49" s="2">
        <v>5488</v>
      </c>
      <c r="G49" s="2">
        <v>100</v>
      </c>
      <c r="H49" s="2">
        <v>5463</v>
      </c>
      <c r="I49" s="2">
        <v>99.54</v>
      </c>
      <c r="J49" s="2">
        <v>5463</v>
      </c>
      <c r="K49" s="2">
        <v>99.54</v>
      </c>
      <c r="L49" s="2">
        <v>5488</v>
      </c>
      <c r="M49" s="2">
        <v>100</v>
      </c>
      <c r="N49" s="2">
        <v>4637</v>
      </c>
      <c r="O49" s="2">
        <v>84.49</v>
      </c>
    </row>
    <row r="50" spans="1:15">
      <c r="A50" s="1" t="s">
        <v>74</v>
      </c>
      <c r="B50" s="2" t="s">
        <v>15</v>
      </c>
      <c r="C50" s="2">
        <v>1504</v>
      </c>
      <c r="D50" s="2">
        <v>1504</v>
      </c>
      <c r="E50" s="2">
        <v>100</v>
      </c>
      <c r="F50" s="2">
        <v>1428</v>
      </c>
      <c r="G50" s="2">
        <v>94.95</v>
      </c>
      <c r="H50" s="2">
        <v>817</v>
      </c>
      <c r="I50" s="2">
        <v>54.32</v>
      </c>
      <c r="J50" s="2">
        <v>1503</v>
      </c>
      <c r="K50" s="2">
        <v>99.93</v>
      </c>
      <c r="L50" s="2">
        <v>1504</v>
      </c>
      <c r="M50" s="2">
        <v>100</v>
      </c>
      <c r="N50" s="2">
        <v>1492</v>
      </c>
      <c r="O50" s="2">
        <v>99.2</v>
      </c>
    </row>
    <row r="51" spans="1:15">
      <c r="A51" s="1" t="s">
        <v>74</v>
      </c>
      <c r="B51" s="2" t="s">
        <v>16</v>
      </c>
      <c r="C51" s="2">
        <v>53603</v>
      </c>
      <c r="D51" s="2">
        <v>53570</v>
      </c>
      <c r="E51" s="2">
        <v>99.94</v>
      </c>
      <c r="F51" s="2">
        <v>50606</v>
      </c>
      <c r="G51" s="2">
        <v>94.41</v>
      </c>
      <c r="H51" s="2">
        <v>52268</v>
      </c>
      <c r="I51" s="2">
        <v>97.51</v>
      </c>
      <c r="J51" s="2">
        <v>51684</v>
      </c>
      <c r="K51" s="2">
        <v>96.42</v>
      </c>
      <c r="L51" s="2">
        <v>53566</v>
      </c>
      <c r="M51" s="2">
        <v>99.93</v>
      </c>
      <c r="N51" s="2">
        <v>51323</v>
      </c>
      <c r="O51" s="2">
        <v>95.75</v>
      </c>
    </row>
    <row r="52" spans="1:15">
      <c r="A52" s="1" t="s">
        <v>74</v>
      </c>
      <c r="B52" s="2" t="s">
        <v>17</v>
      </c>
      <c r="C52" s="2">
        <v>23561</v>
      </c>
      <c r="D52" s="2">
        <v>23389</v>
      </c>
      <c r="E52" s="2">
        <v>99.27</v>
      </c>
      <c r="F52" s="2">
        <v>13461</v>
      </c>
      <c r="G52" s="2">
        <v>57.13</v>
      </c>
      <c r="H52" s="2">
        <v>22475</v>
      </c>
      <c r="I52" s="2">
        <v>95.39</v>
      </c>
      <c r="J52" s="2">
        <v>22952</v>
      </c>
      <c r="K52" s="2">
        <v>97.42</v>
      </c>
      <c r="L52" s="2">
        <v>23535</v>
      </c>
      <c r="M52" s="2">
        <v>99.89</v>
      </c>
      <c r="N52" s="2">
        <v>22527</v>
      </c>
      <c r="O52" s="2">
        <v>95.61</v>
      </c>
    </row>
    <row r="53" spans="1:15">
      <c r="A53" s="1" t="s">
        <v>74</v>
      </c>
      <c r="B53" s="2" t="s">
        <v>18</v>
      </c>
      <c r="C53" s="2">
        <v>18062</v>
      </c>
      <c r="D53" s="2">
        <v>17758</v>
      </c>
      <c r="E53" s="2">
        <v>98.32</v>
      </c>
      <c r="F53" s="2">
        <v>6432</v>
      </c>
      <c r="G53" s="2">
        <v>35.61</v>
      </c>
      <c r="H53" s="2">
        <v>7340</v>
      </c>
      <c r="I53" s="2">
        <v>40.64</v>
      </c>
      <c r="J53" s="2">
        <v>17309</v>
      </c>
      <c r="K53" s="2">
        <v>95.83</v>
      </c>
      <c r="L53" s="2">
        <v>18062</v>
      </c>
      <c r="M53" s="2">
        <v>100</v>
      </c>
      <c r="N53" s="2">
        <v>17646</v>
      </c>
      <c r="O53" s="2">
        <v>97.7</v>
      </c>
    </row>
    <row r="54" spans="1:15">
      <c r="A54" s="1" t="s">
        <v>74</v>
      </c>
      <c r="B54" s="2" t="s">
        <v>19</v>
      </c>
      <c r="C54" s="2">
        <v>24278</v>
      </c>
      <c r="D54" s="2">
        <v>22301</v>
      </c>
      <c r="E54" s="2">
        <v>91.86</v>
      </c>
      <c r="F54" s="2">
        <v>9815</v>
      </c>
      <c r="G54" s="2">
        <v>40.43</v>
      </c>
      <c r="H54" s="2">
        <v>9442</v>
      </c>
      <c r="I54" s="2">
        <v>38.89</v>
      </c>
      <c r="J54" s="2">
        <v>17355</v>
      </c>
      <c r="K54" s="2">
        <v>71.48</v>
      </c>
      <c r="L54" s="2">
        <v>24149</v>
      </c>
      <c r="M54" s="2">
        <v>99.47</v>
      </c>
      <c r="N54" s="2">
        <v>19933</v>
      </c>
      <c r="O54" s="2">
        <v>82.1</v>
      </c>
    </row>
    <row r="55" spans="1:15">
      <c r="A55" s="1" t="s">
        <v>74</v>
      </c>
      <c r="B55" s="2" t="s">
        <v>20</v>
      </c>
      <c r="C55" s="2">
        <v>44596</v>
      </c>
      <c r="D55" s="2">
        <v>42740</v>
      </c>
      <c r="E55" s="2">
        <v>95.84</v>
      </c>
      <c r="F55" s="2">
        <v>21330</v>
      </c>
      <c r="G55" s="2">
        <v>47.83</v>
      </c>
      <c r="H55" s="2">
        <v>31524</v>
      </c>
      <c r="I55" s="2">
        <v>70.69</v>
      </c>
      <c r="J55" s="2">
        <v>42183</v>
      </c>
      <c r="K55" s="2">
        <v>94.59</v>
      </c>
      <c r="L55" s="2">
        <v>43885</v>
      </c>
      <c r="M55" s="2">
        <v>98.41</v>
      </c>
      <c r="N55" s="2">
        <v>42875</v>
      </c>
      <c r="O55" s="2">
        <v>96.14</v>
      </c>
    </row>
    <row r="56" spans="1:15">
      <c r="A56" s="1" t="s">
        <v>74</v>
      </c>
      <c r="B56" s="2" t="s">
        <v>21</v>
      </c>
      <c r="C56" s="2">
        <v>76090</v>
      </c>
      <c r="D56" s="2">
        <v>75427</v>
      </c>
      <c r="E56" s="2">
        <v>99.13</v>
      </c>
      <c r="F56" s="2">
        <v>31355</v>
      </c>
      <c r="G56" s="2">
        <v>41.21</v>
      </c>
      <c r="H56" s="2">
        <v>37471</v>
      </c>
      <c r="I56" s="2">
        <v>49.25</v>
      </c>
      <c r="J56" s="2">
        <v>74088</v>
      </c>
      <c r="K56" s="2">
        <v>97.37</v>
      </c>
      <c r="L56" s="2">
        <v>76050</v>
      </c>
      <c r="M56" s="2">
        <v>99.95</v>
      </c>
      <c r="N56" s="2">
        <v>74655</v>
      </c>
      <c r="O56" s="2">
        <v>98.11</v>
      </c>
    </row>
    <row r="57" spans="1:15">
      <c r="A57" s="1" t="s">
        <v>74</v>
      </c>
      <c r="B57" s="2" t="s">
        <v>22</v>
      </c>
      <c r="C57" s="2">
        <v>15934</v>
      </c>
      <c r="D57" s="2">
        <v>15919</v>
      </c>
      <c r="E57" s="2">
        <v>99.91</v>
      </c>
      <c r="F57" s="2">
        <v>15525</v>
      </c>
      <c r="G57" s="2">
        <v>97.43</v>
      </c>
      <c r="H57" s="2">
        <v>15821</v>
      </c>
      <c r="I57" s="2">
        <v>99.29</v>
      </c>
      <c r="J57" s="2">
        <v>15733</v>
      </c>
      <c r="K57" s="2">
        <v>98.74</v>
      </c>
      <c r="L57" s="2">
        <v>15926</v>
      </c>
      <c r="M57" s="2">
        <v>99.95</v>
      </c>
      <c r="N57" s="2">
        <v>15812</v>
      </c>
      <c r="O57" s="2">
        <v>99.23</v>
      </c>
    </row>
    <row r="58" spans="1:15">
      <c r="A58" s="1" t="s">
        <v>74</v>
      </c>
      <c r="B58" s="2" t="s">
        <v>23</v>
      </c>
      <c r="C58" s="2">
        <v>979</v>
      </c>
      <c r="D58" s="2">
        <v>804</v>
      </c>
      <c r="E58" s="2">
        <v>82.12</v>
      </c>
      <c r="F58" s="2">
        <v>430</v>
      </c>
      <c r="G58" s="2">
        <v>43.92</v>
      </c>
      <c r="H58" s="2">
        <v>458</v>
      </c>
      <c r="I58" s="2">
        <v>46.78</v>
      </c>
      <c r="J58" s="2">
        <v>949</v>
      </c>
      <c r="K58" s="2">
        <v>96.94</v>
      </c>
      <c r="L58" s="2">
        <v>955</v>
      </c>
      <c r="M58" s="2">
        <v>97.55</v>
      </c>
      <c r="N58" s="2">
        <v>866</v>
      </c>
      <c r="O58" s="2">
        <v>88.46</v>
      </c>
    </row>
    <row r="59" spans="1:15">
      <c r="A59" s="1" t="s">
        <v>74</v>
      </c>
      <c r="B59" s="2" t="s">
        <v>24</v>
      </c>
      <c r="C59" s="2">
        <v>37</v>
      </c>
      <c r="D59" s="2">
        <v>37</v>
      </c>
      <c r="E59" s="2">
        <v>100</v>
      </c>
      <c r="F59" s="2">
        <v>35</v>
      </c>
      <c r="G59" s="2">
        <v>94.59</v>
      </c>
      <c r="H59" s="2">
        <v>37</v>
      </c>
      <c r="I59" s="2">
        <v>100</v>
      </c>
      <c r="J59" s="2">
        <v>37</v>
      </c>
      <c r="K59" s="2">
        <v>100</v>
      </c>
      <c r="L59" s="2">
        <v>37</v>
      </c>
      <c r="M59" s="2">
        <v>100</v>
      </c>
      <c r="N59" s="2">
        <v>37</v>
      </c>
      <c r="O59" s="2">
        <v>100</v>
      </c>
    </row>
    <row r="60" spans="1:15">
      <c r="A60" s="1" t="s">
        <v>74</v>
      </c>
      <c r="B60" s="2" t="s">
        <v>25</v>
      </c>
      <c r="C60" s="2">
        <v>122937</v>
      </c>
      <c r="D60" s="2">
        <v>110628</v>
      </c>
      <c r="E60" s="2">
        <v>89.99</v>
      </c>
      <c r="F60" s="2">
        <v>48873</v>
      </c>
      <c r="G60" s="2">
        <v>39.75</v>
      </c>
      <c r="H60" s="2">
        <v>33686</v>
      </c>
      <c r="I60" s="2">
        <v>27.4</v>
      </c>
      <c r="J60" s="2">
        <v>121011</v>
      </c>
      <c r="K60" s="2">
        <v>98.43</v>
      </c>
      <c r="L60" s="2">
        <v>122337</v>
      </c>
      <c r="M60" s="2">
        <v>99.51</v>
      </c>
      <c r="N60" s="2">
        <v>109316</v>
      </c>
      <c r="O60" s="2">
        <v>88.92</v>
      </c>
    </row>
    <row r="61" spans="1:15">
      <c r="A61" s="1" t="s">
        <v>74</v>
      </c>
      <c r="B61" s="2" t="s">
        <v>26</v>
      </c>
      <c r="C61" s="2">
        <v>108451</v>
      </c>
      <c r="D61" s="2">
        <v>103110</v>
      </c>
      <c r="E61" s="2">
        <v>95.08</v>
      </c>
      <c r="F61" s="2">
        <v>67839</v>
      </c>
      <c r="G61" s="2">
        <v>62.55</v>
      </c>
      <c r="H61" s="2">
        <v>86020</v>
      </c>
      <c r="I61" s="2">
        <v>79.319999999999993</v>
      </c>
      <c r="J61" s="2">
        <v>106513</v>
      </c>
      <c r="K61" s="2">
        <v>98.21</v>
      </c>
      <c r="L61" s="2">
        <v>107974</v>
      </c>
      <c r="M61" s="2">
        <v>99.56</v>
      </c>
      <c r="N61" s="2">
        <v>101698</v>
      </c>
      <c r="O61" s="2">
        <v>93.77</v>
      </c>
    </row>
    <row r="62" spans="1:15">
      <c r="A62" s="1" t="s">
        <v>74</v>
      </c>
      <c r="B62" s="2" t="s">
        <v>27</v>
      </c>
      <c r="C62" s="2">
        <v>4627</v>
      </c>
      <c r="D62" s="2">
        <v>3122</v>
      </c>
      <c r="E62" s="2">
        <v>67.47</v>
      </c>
      <c r="F62" s="2">
        <v>1292</v>
      </c>
      <c r="G62" s="2">
        <v>27.92</v>
      </c>
      <c r="H62" s="2">
        <v>1491</v>
      </c>
      <c r="I62" s="2">
        <v>32.22</v>
      </c>
      <c r="J62" s="2">
        <v>1136</v>
      </c>
      <c r="K62" s="2">
        <v>24.55</v>
      </c>
      <c r="L62" s="2">
        <v>4627</v>
      </c>
      <c r="M62" s="2">
        <v>100</v>
      </c>
      <c r="N62" s="2">
        <v>3458</v>
      </c>
      <c r="O62" s="2">
        <v>74.739999999999995</v>
      </c>
    </row>
    <row r="63" spans="1:15">
      <c r="A63" s="1" t="s">
        <v>74</v>
      </c>
      <c r="B63" s="2" t="s">
        <v>28</v>
      </c>
      <c r="C63" s="2">
        <v>14588</v>
      </c>
      <c r="D63" s="2">
        <v>4048</v>
      </c>
      <c r="E63" s="2">
        <v>27.75</v>
      </c>
      <c r="F63" s="2">
        <v>3282</v>
      </c>
      <c r="G63" s="2">
        <v>22.5</v>
      </c>
      <c r="H63" s="2">
        <v>2478</v>
      </c>
      <c r="I63" s="2">
        <v>16.989999999999998</v>
      </c>
      <c r="J63" s="2">
        <v>3935</v>
      </c>
      <c r="K63" s="2">
        <v>26.97</v>
      </c>
      <c r="L63" s="2">
        <v>8240</v>
      </c>
      <c r="M63" s="2">
        <v>56.48</v>
      </c>
      <c r="N63" s="2">
        <v>10161</v>
      </c>
      <c r="O63" s="2">
        <v>69.650000000000006</v>
      </c>
    </row>
    <row r="64" spans="1:15">
      <c r="A64" s="1" t="s">
        <v>74</v>
      </c>
      <c r="B64" s="2" t="s">
        <v>29</v>
      </c>
      <c r="C64" s="2">
        <v>3891</v>
      </c>
      <c r="D64" s="2">
        <v>3427</v>
      </c>
      <c r="E64" s="2">
        <v>88.08</v>
      </c>
      <c r="F64" s="2">
        <v>498</v>
      </c>
      <c r="G64" s="2">
        <v>12.8</v>
      </c>
      <c r="H64" s="2">
        <v>1532</v>
      </c>
      <c r="I64" s="2">
        <v>39.369999999999997</v>
      </c>
      <c r="J64" s="2">
        <v>3246</v>
      </c>
      <c r="K64" s="2">
        <v>83.42</v>
      </c>
      <c r="L64" s="2">
        <v>3590</v>
      </c>
      <c r="M64" s="2">
        <v>92.26</v>
      </c>
      <c r="N64" s="2">
        <v>3314</v>
      </c>
      <c r="O64" s="2">
        <v>85.17</v>
      </c>
    </row>
    <row r="65" spans="1:15">
      <c r="A65" s="1" t="s">
        <v>74</v>
      </c>
      <c r="B65" s="2" t="s">
        <v>30</v>
      </c>
      <c r="C65" s="2">
        <v>2717</v>
      </c>
      <c r="D65" s="2">
        <v>2129</v>
      </c>
      <c r="E65" s="2">
        <v>78.36</v>
      </c>
      <c r="F65" s="2">
        <v>1507</v>
      </c>
      <c r="G65" s="2">
        <v>55.47</v>
      </c>
      <c r="H65" s="2">
        <v>1629</v>
      </c>
      <c r="I65" s="2">
        <v>59.96</v>
      </c>
      <c r="J65" s="2">
        <v>2016</v>
      </c>
      <c r="K65" s="2">
        <v>74.2</v>
      </c>
      <c r="L65" s="2">
        <v>1855</v>
      </c>
      <c r="M65" s="2">
        <v>68.27</v>
      </c>
      <c r="N65" s="2">
        <v>2077</v>
      </c>
      <c r="O65" s="2">
        <v>76.44</v>
      </c>
    </row>
    <row r="66" spans="1:15">
      <c r="A66" s="1" t="s">
        <v>74</v>
      </c>
      <c r="B66" s="2" t="s">
        <v>31</v>
      </c>
      <c r="C66" s="2">
        <v>61891</v>
      </c>
      <c r="D66" s="2">
        <v>57570</v>
      </c>
      <c r="E66" s="2">
        <v>93.02</v>
      </c>
      <c r="F66" s="2">
        <v>45607</v>
      </c>
      <c r="G66" s="2">
        <v>73.69</v>
      </c>
      <c r="H66" s="2">
        <v>21296</v>
      </c>
      <c r="I66" s="2">
        <v>34.409999999999997</v>
      </c>
      <c r="J66" s="2">
        <v>61355</v>
      </c>
      <c r="K66" s="2">
        <v>99.13</v>
      </c>
      <c r="L66" s="2">
        <v>61815</v>
      </c>
      <c r="M66" s="2">
        <v>99.88</v>
      </c>
      <c r="N66" s="2">
        <v>59194</v>
      </c>
      <c r="O66" s="2">
        <v>95.64</v>
      </c>
    </row>
    <row r="67" spans="1:15">
      <c r="A67" s="1" t="s">
        <v>74</v>
      </c>
      <c r="B67" s="2" t="s">
        <v>32</v>
      </c>
      <c r="C67" s="2">
        <v>729</v>
      </c>
      <c r="D67" s="2">
        <v>729</v>
      </c>
      <c r="E67" s="2">
        <v>100</v>
      </c>
      <c r="F67" s="2">
        <v>729</v>
      </c>
      <c r="G67" s="2">
        <v>100</v>
      </c>
      <c r="H67" s="2">
        <v>729</v>
      </c>
      <c r="I67" s="2">
        <v>100</v>
      </c>
      <c r="J67" s="2">
        <v>729</v>
      </c>
      <c r="K67" s="2">
        <v>100</v>
      </c>
      <c r="L67" s="2">
        <v>729</v>
      </c>
      <c r="M67" s="2">
        <v>100</v>
      </c>
      <c r="N67" s="2">
        <v>700</v>
      </c>
      <c r="O67" s="2">
        <v>96.02</v>
      </c>
    </row>
    <row r="68" spans="1:15">
      <c r="A68" s="1" t="s">
        <v>74</v>
      </c>
      <c r="B68" s="2" t="s">
        <v>33</v>
      </c>
      <c r="C68" s="2">
        <v>27592</v>
      </c>
      <c r="D68" s="2">
        <v>27577</v>
      </c>
      <c r="E68" s="2">
        <v>99.95</v>
      </c>
      <c r="F68" s="2">
        <v>18395</v>
      </c>
      <c r="G68" s="2">
        <v>66.67</v>
      </c>
      <c r="H68" s="2">
        <v>27157</v>
      </c>
      <c r="I68" s="2">
        <v>98.42</v>
      </c>
      <c r="J68" s="2">
        <v>27110</v>
      </c>
      <c r="K68" s="2">
        <v>98.25</v>
      </c>
      <c r="L68" s="2">
        <v>27575</v>
      </c>
      <c r="M68" s="2">
        <v>99.94</v>
      </c>
      <c r="N68" s="2">
        <v>26757</v>
      </c>
      <c r="O68" s="2">
        <v>96.97</v>
      </c>
    </row>
    <row r="69" spans="1:15">
      <c r="A69" s="1" t="s">
        <v>74</v>
      </c>
      <c r="B69" s="2" t="s">
        <v>34</v>
      </c>
      <c r="C69" s="2">
        <v>106670</v>
      </c>
      <c r="D69" s="2">
        <v>97411</v>
      </c>
      <c r="E69" s="2">
        <v>91.32</v>
      </c>
      <c r="F69" s="2">
        <v>70074</v>
      </c>
      <c r="G69" s="2">
        <v>65.69</v>
      </c>
      <c r="H69" s="2">
        <v>51900</v>
      </c>
      <c r="I69" s="2">
        <v>48.65</v>
      </c>
      <c r="J69" s="2">
        <v>81872</v>
      </c>
      <c r="K69" s="2">
        <v>76.75</v>
      </c>
      <c r="L69" s="2">
        <v>103803</v>
      </c>
      <c r="M69" s="2">
        <v>97.31</v>
      </c>
      <c r="N69" s="2">
        <v>91685</v>
      </c>
      <c r="O69" s="2">
        <v>85.95</v>
      </c>
    </row>
    <row r="70" spans="1:15">
      <c r="A70" s="1" t="s">
        <v>74</v>
      </c>
      <c r="B70" s="2" t="s">
        <v>35</v>
      </c>
      <c r="C70" s="2">
        <v>1250</v>
      </c>
      <c r="D70" s="2">
        <v>1239</v>
      </c>
      <c r="E70" s="2">
        <v>99.12</v>
      </c>
      <c r="F70" s="2">
        <v>570</v>
      </c>
      <c r="G70" s="2">
        <v>45.6</v>
      </c>
      <c r="H70" s="2">
        <v>1130</v>
      </c>
      <c r="I70" s="2">
        <v>90.4</v>
      </c>
      <c r="J70" s="2">
        <v>1103</v>
      </c>
      <c r="K70" s="2">
        <v>88.24</v>
      </c>
      <c r="L70" s="2">
        <v>1244</v>
      </c>
      <c r="M70" s="2">
        <v>99.52</v>
      </c>
      <c r="N70" s="2">
        <v>1143</v>
      </c>
      <c r="O70" s="2">
        <v>91.44</v>
      </c>
    </row>
    <row r="71" spans="1:15">
      <c r="A71" s="1" t="s">
        <v>74</v>
      </c>
      <c r="B71" s="2" t="s">
        <v>36</v>
      </c>
      <c r="C71" s="2">
        <v>58150</v>
      </c>
      <c r="D71" s="2">
        <v>58150</v>
      </c>
      <c r="E71" s="2">
        <v>100</v>
      </c>
      <c r="F71" s="2">
        <v>58150</v>
      </c>
      <c r="G71" s="2">
        <v>100</v>
      </c>
      <c r="H71" s="2">
        <v>42869</v>
      </c>
      <c r="I71" s="2">
        <v>73.72</v>
      </c>
      <c r="J71" s="2">
        <v>58150</v>
      </c>
      <c r="K71" s="2">
        <v>100</v>
      </c>
      <c r="L71" s="2">
        <v>58150</v>
      </c>
      <c r="M71" s="2">
        <v>100</v>
      </c>
      <c r="N71" s="2">
        <v>55536</v>
      </c>
      <c r="O71" s="2">
        <v>95.5</v>
      </c>
    </row>
    <row r="72" spans="1:15">
      <c r="A72" s="1" t="s">
        <v>74</v>
      </c>
      <c r="B72" s="2" t="s">
        <v>37</v>
      </c>
      <c r="C72" s="2">
        <v>42476</v>
      </c>
      <c r="D72" s="2">
        <v>40498</v>
      </c>
      <c r="E72" s="2">
        <v>95.34</v>
      </c>
      <c r="F72" s="2">
        <v>13125</v>
      </c>
      <c r="G72" s="2">
        <v>30.9</v>
      </c>
      <c r="H72" s="2">
        <v>18449</v>
      </c>
      <c r="I72" s="2">
        <v>43.43</v>
      </c>
      <c r="J72" s="2">
        <v>39122</v>
      </c>
      <c r="K72" s="2">
        <v>92.1</v>
      </c>
      <c r="L72" s="2">
        <v>41271</v>
      </c>
      <c r="M72" s="2">
        <v>97.16</v>
      </c>
      <c r="N72" s="2">
        <v>37301</v>
      </c>
      <c r="O72" s="2">
        <v>87.82</v>
      </c>
    </row>
    <row r="73" spans="1:15">
      <c r="A73" s="1" t="s">
        <v>74</v>
      </c>
      <c r="B73" s="2" t="s">
        <v>38</v>
      </c>
      <c r="C73" s="2">
        <v>4912</v>
      </c>
      <c r="D73" s="2">
        <v>3098</v>
      </c>
      <c r="E73" s="2">
        <v>63.07</v>
      </c>
      <c r="F73" s="2">
        <v>1475</v>
      </c>
      <c r="G73" s="2">
        <v>30.03</v>
      </c>
      <c r="H73" s="2">
        <v>1811</v>
      </c>
      <c r="I73" s="2">
        <v>36.869999999999997</v>
      </c>
      <c r="J73" s="2">
        <v>3668</v>
      </c>
      <c r="K73" s="2">
        <v>74.67</v>
      </c>
      <c r="L73" s="2">
        <v>4446</v>
      </c>
      <c r="M73" s="2">
        <v>90.51</v>
      </c>
      <c r="N73" s="2">
        <v>3659</v>
      </c>
      <c r="O73" s="2">
        <v>74.489999999999995</v>
      </c>
    </row>
    <row r="74" spans="1:15">
      <c r="A74" s="1" t="s">
        <v>74</v>
      </c>
      <c r="B74" s="2" t="s">
        <v>39</v>
      </c>
      <c r="C74" s="2">
        <v>251094</v>
      </c>
      <c r="D74" s="2">
        <v>214251</v>
      </c>
      <c r="E74" s="2">
        <v>85.33</v>
      </c>
      <c r="F74" s="2">
        <v>87186</v>
      </c>
      <c r="G74" s="2">
        <v>34.72</v>
      </c>
      <c r="H74" s="2">
        <v>67319</v>
      </c>
      <c r="I74" s="2">
        <v>26.81</v>
      </c>
      <c r="J74" s="2">
        <v>202445</v>
      </c>
      <c r="K74" s="2">
        <v>80.63</v>
      </c>
      <c r="L74" s="2">
        <v>250542</v>
      </c>
      <c r="M74" s="2">
        <v>99.78</v>
      </c>
      <c r="N74" s="2">
        <v>233378</v>
      </c>
      <c r="O74" s="2">
        <v>92.94</v>
      </c>
    </row>
    <row r="75" spans="1:15">
      <c r="A75" s="1" t="s">
        <v>74</v>
      </c>
      <c r="B75" s="2" t="s">
        <v>40</v>
      </c>
      <c r="C75" s="2">
        <v>22618</v>
      </c>
      <c r="D75" s="2">
        <v>20853</v>
      </c>
      <c r="E75" s="2">
        <v>92.2</v>
      </c>
      <c r="F75" s="2">
        <v>16192</v>
      </c>
      <c r="G75" s="2">
        <v>71.59</v>
      </c>
      <c r="H75" s="2">
        <v>15366</v>
      </c>
      <c r="I75" s="2">
        <v>67.94</v>
      </c>
      <c r="J75" s="2">
        <v>21914</v>
      </c>
      <c r="K75" s="2">
        <v>96.89</v>
      </c>
      <c r="L75" s="2">
        <v>21823</v>
      </c>
      <c r="M75" s="2">
        <v>96.49</v>
      </c>
      <c r="N75" s="2">
        <v>19101</v>
      </c>
      <c r="O75" s="2">
        <v>84.45</v>
      </c>
    </row>
    <row r="76" spans="1:15">
      <c r="A76" s="1" t="s">
        <v>74</v>
      </c>
      <c r="B76" s="2" t="s">
        <v>41</v>
      </c>
      <c r="C76" s="2">
        <v>94402</v>
      </c>
      <c r="D76" s="2">
        <v>92167</v>
      </c>
      <c r="E76" s="2">
        <v>97.63</v>
      </c>
      <c r="F76" s="2">
        <v>14997</v>
      </c>
      <c r="G76" s="2">
        <v>15.89</v>
      </c>
      <c r="H76" s="2">
        <v>19277</v>
      </c>
      <c r="I76" s="2">
        <v>20.420000000000002</v>
      </c>
      <c r="J76" s="2">
        <v>83021</v>
      </c>
      <c r="K76" s="2">
        <v>87.94</v>
      </c>
      <c r="L76" s="2">
        <v>93987</v>
      </c>
      <c r="M76" s="2">
        <v>99.56</v>
      </c>
      <c r="N76" s="2">
        <v>93304</v>
      </c>
      <c r="O76" s="2">
        <v>98.84</v>
      </c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5" t="s">
        <v>75</v>
      </c>
      <c r="B78" s="6" t="s">
        <v>98</v>
      </c>
      <c r="C78" s="6">
        <v>412</v>
      </c>
      <c r="D78" s="6">
        <v>384</v>
      </c>
      <c r="E78" s="6">
        <v>93.2</v>
      </c>
      <c r="F78" s="6">
        <v>239</v>
      </c>
      <c r="G78" s="6">
        <v>58.01</v>
      </c>
      <c r="H78" s="6">
        <v>283</v>
      </c>
      <c r="I78" s="6">
        <v>68.69</v>
      </c>
      <c r="J78" s="6">
        <v>412</v>
      </c>
      <c r="K78" s="6">
        <v>100</v>
      </c>
      <c r="L78" s="6">
        <v>412</v>
      </c>
      <c r="M78" s="6">
        <v>100</v>
      </c>
      <c r="N78" s="6">
        <v>412</v>
      </c>
      <c r="O78" s="6">
        <v>100</v>
      </c>
    </row>
    <row r="79" spans="1:15">
      <c r="A79" s="1" t="s">
        <v>75</v>
      </c>
      <c r="B79" s="2" t="s">
        <v>99</v>
      </c>
      <c r="C79" s="3">
        <v>61373</v>
      </c>
      <c r="D79" s="3">
        <v>61238</v>
      </c>
      <c r="E79" s="2">
        <v>99.78</v>
      </c>
      <c r="F79" s="3">
        <v>57652</v>
      </c>
      <c r="G79" s="2">
        <v>93.94</v>
      </c>
      <c r="H79" s="3">
        <v>53556</v>
      </c>
      <c r="I79" s="2">
        <v>87.26</v>
      </c>
      <c r="J79" s="3">
        <v>61136</v>
      </c>
      <c r="K79" s="2">
        <v>99.61</v>
      </c>
      <c r="L79" s="3">
        <v>61366</v>
      </c>
      <c r="M79" s="2">
        <v>99.99</v>
      </c>
      <c r="N79" s="3">
        <v>59944</v>
      </c>
      <c r="O79" s="2">
        <v>97.67</v>
      </c>
    </row>
    <row r="80" spans="1:15">
      <c r="A80" s="1" t="s">
        <v>75</v>
      </c>
      <c r="B80" s="2" t="s">
        <v>8</v>
      </c>
      <c r="C80" s="3">
        <v>3490</v>
      </c>
      <c r="D80" s="3">
        <v>2400</v>
      </c>
      <c r="E80" s="2">
        <v>68.77</v>
      </c>
      <c r="F80" s="3">
        <v>1065</v>
      </c>
      <c r="G80" s="2">
        <v>30.52</v>
      </c>
      <c r="H80" s="3">
        <v>1487</v>
      </c>
      <c r="I80" s="2">
        <v>42.61</v>
      </c>
      <c r="J80" s="3">
        <v>1510</v>
      </c>
      <c r="K80" s="2">
        <v>43.27</v>
      </c>
      <c r="L80" s="3">
        <v>2912</v>
      </c>
      <c r="M80" s="2">
        <v>83.44</v>
      </c>
      <c r="N80" s="3">
        <v>2446</v>
      </c>
      <c r="O80" s="2">
        <v>70.09</v>
      </c>
    </row>
    <row r="81" spans="1:15">
      <c r="A81" s="1" t="s">
        <v>75</v>
      </c>
      <c r="B81" s="2" t="s">
        <v>9</v>
      </c>
      <c r="C81" s="3">
        <v>56630</v>
      </c>
      <c r="D81" s="3">
        <v>49262</v>
      </c>
      <c r="E81" s="2">
        <v>86.99</v>
      </c>
      <c r="F81" s="3">
        <v>25490</v>
      </c>
      <c r="G81" s="2">
        <v>45.01</v>
      </c>
      <c r="H81" s="3">
        <v>38463</v>
      </c>
      <c r="I81" s="2">
        <v>67.92</v>
      </c>
      <c r="J81" s="3">
        <v>51282</v>
      </c>
      <c r="K81" s="2">
        <v>90.56</v>
      </c>
      <c r="L81" s="3">
        <v>54341</v>
      </c>
      <c r="M81" s="2">
        <v>95.96</v>
      </c>
      <c r="N81" s="3">
        <v>49995</v>
      </c>
      <c r="O81" s="2">
        <v>88.28</v>
      </c>
    </row>
    <row r="82" spans="1:15">
      <c r="A82" s="1" t="s">
        <v>75</v>
      </c>
      <c r="B82" s="2" t="s">
        <v>10</v>
      </c>
      <c r="C82" s="3">
        <v>94686</v>
      </c>
      <c r="D82" s="3">
        <v>75545</v>
      </c>
      <c r="E82" s="2">
        <v>79.78</v>
      </c>
      <c r="F82" s="3">
        <v>17492</v>
      </c>
      <c r="G82" s="2">
        <v>18.47</v>
      </c>
      <c r="H82" s="3">
        <v>18585</v>
      </c>
      <c r="I82" s="2">
        <v>19.63</v>
      </c>
      <c r="J82" s="3">
        <v>57096</v>
      </c>
      <c r="K82" s="2">
        <v>60.3</v>
      </c>
      <c r="L82" s="3">
        <v>90577</v>
      </c>
      <c r="M82" s="2">
        <v>95.66</v>
      </c>
      <c r="N82" s="3">
        <v>87271</v>
      </c>
      <c r="O82" s="2">
        <v>92.17</v>
      </c>
    </row>
    <row r="83" spans="1:15">
      <c r="A83" s="1" t="s">
        <v>75</v>
      </c>
      <c r="B83" s="2" t="s">
        <v>11</v>
      </c>
      <c r="C83" s="2">
        <v>230</v>
      </c>
      <c r="D83" s="2">
        <v>230</v>
      </c>
      <c r="E83" s="2">
        <v>100</v>
      </c>
      <c r="F83" s="2">
        <v>229</v>
      </c>
      <c r="G83" s="2">
        <v>99.57</v>
      </c>
      <c r="H83" s="2">
        <v>230</v>
      </c>
      <c r="I83" s="2">
        <v>100</v>
      </c>
      <c r="J83" s="2">
        <v>226</v>
      </c>
      <c r="K83" s="2">
        <v>98.26</v>
      </c>
      <c r="L83" s="2">
        <v>230</v>
      </c>
      <c r="M83" s="2">
        <v>100</v>
      </c>
      <c r="N83" s="2">
        <v>229</v>
      </c>
      <c r="O83" s="2">
        <v>99.57</v>
      </c>
    </row>
    <row r="84" spans="1:15">
      <c r="A84" s="1" t="s">
        <v>75</v>
      </c>
      <c r="B84" s="2" t="s">
        <v>100</v>
      </c>
      <c r="C84" s="3">
        <v>56615</v>
      </c>
      <c r="D84" s="3">
        <v>53596</v>
      </c>
      <c r="E84" s="2">
        <v>94.67</v>
      </c>
      <c r="F84" s="3">
        <v>34722</v>
      </c>
      <c r="G84" s="2">
        <v>61.33</v>
      </c>
      <c r="H84" s="3">
        <v>38094</v>
      </c>
      <c r="I84" s="2">
        <v>67.290000000000006</v>
      </c>
      <c r="J84" s="3">
        <v>55610</v>
      </c>
      <c r="K84" s="2">
        <v>98.22</v>
      </c>
      <c r="L84" s="3">
        <v>56083</v>
      </c>
      <c r="M84" s="2">
        <v>99.06</v>
      </c>
      <c r="N84" s="3">
        <v>52545</v>
      </c>
      <c r="O84" s="2">
        <v>92.81</v>
      </c>
    </row>
    <row r="85" spans="1:15">
      <c r="A85" s="1" t="s">
        <v>75</v>
      </c>
      <c r="B85" s="2" t="s">
        <v>101</v>
      </c>
      <c r="C85" s="2">
        <v>432</v>
      </c>
      <c r="D85" s="2">
        <v>432</v>
      </c>
      <c r="E85" s="2">
        <v>100</v>
      </c>
      <c r="F85" s="2">
        <v>429</v>
      </c>
      <c r="G85" s="2">
        <v>99.31</v>
      </c>
      <c r="H85" s="2">
        <v>419</v>
      </c>
      <c r="I85" s="2">
        <v>96.99</v>
      </c>
      <c r="J85" s="2">
        <v>431</v>
      </c>
      <c r="K85" s="2">
        <v>99.77</v>
      </c>
      <c r="L85" s="2">
        <v>432</v>
      </c>
      <c r="M85" s="2">
        <v>100</v>
      </c>
      <c r="N85" s="2">
        <v>430</v>
      </c>
      <c r="O85" s="2">
        <v>99.54</v>
      </c>
    </row>
    <row r="86" spans="1:15">
      <c r="A86" s="1" t="s">
        <v>75</v>
      </c>
      <c r="B86" s="2" t="s">
        <v>14</v>
      </c>
      <c r="C86" s="3">
        <v>5497</v>
      </c>
      <c r="D86" s="3">
        <v>5497</v>
      </c>
      <c r="E86" s="2">
        <v>100</v>
      </c>
      <c r="F86" s="3">
        <v>5497</v>
      </c>
      <c r="G86" s="2">
        <v>100</v>
      </c>
      <c r="H86" s="3">
        <v>5495</v>
      </c>
      <c r="I86" s="2">
        <v>99.96</v>
      </c>
      <c r="J86" s="3">
        <v>5495</v>
      </c>
      <c r="K86" s="2">
        <v>99.96</v>
      </c>
      <c r="L86" s="3">
        <v>5497</v>
      </c>
      <c r="M86" s="2">
        <v>100</v>
      </c>
      <c r="N86" s="3">
        <v>4645</v>
      </c>
      <c r="O86" s="2">
        <v>84.5</v>
      </c>
    </row>
    <row r="87" spans="1:15">
      <c r="A87" s="1" t="s">
        <v>75</v>
      </c>
      <c r="B87" s="2" t="s">
        <v>15</v>
      </c>
      <c r="C87" s="3">
        <v>1487</v>
      </c>
      <c r="D87" s="3">
        <v>1487</v>
      </c>
      <c r="E87" s="2">
        <v>100</v>
      </c>
      <c r="F87" s="3">
        <v>1302</v>
      </c>
      <c r="G87" s="2">
        <v>87.56</v>
      </c>
      <c r="H87" s="2">
        <v>836</v>
      </c>
      <c r="I87" s="2">
        <v>56.22</v>
      </c>
      <c r="J87" s="3">
        <v>1487</v>
      </c>
      <c r="K87" s="2">
        <v>100</v>
      </c>
      <c r="L87" s="3">
        <v>1487</v>
      </c>
      <c r="M87" s="2">
        <v>100</v>
      </c>
      <c r="N87" s="3">
        <v>1477</v>
      </c>
      <c r="O87" s="2">
        <v>99.33</v>
      </c>
    </row>
    <row r="88" spans="1:15">
      <c r="A88" s="1" t="s">
        <v>75</v>
      </c>
      <c r="B88" s="2" t="s">
        <v>16</v>
      </c>
      <c r="C88" s="3">
        <v>53626</v>
      </c>
      <c r="D88" s="3">
        <v>53593</v>
      </c>
      <c r="E88" s="2">
        <v>99.94</v>
      </c>
      <c r="F88" s="3">
        <v>50351</v>
      </c>
      <c r="G88" s="2">
        <v>93.89</v>
      </c>
      <c r="H88" s="3">
        <v>52543</v>
      </c>
      <c r="I88" s="2">
        <v>97.98</v>
      </c>
      <c r="J88" s="3">
        <v>51774</v>
      </c>
      <c r="K88" s="2">
        <v>96.55</v>
      </c>
      <c r="L88" s="3">
        <v>53602</v>
      </c>
      <c r="M88" s="2">
        <v>99.96</v>
      </c>
      <c r="N88" s="3">
        <v>51364</v>
      </c>
      <c r="O88" s="2">
        <v>95.78</v>
      </c>
    </row>
    <row r="89" spans="1:15">
      <c r="A89" s="1" t="s">
        <v>75</v>
      </c>
      <c r="B89" s="2" t="s">
        <v>17</v>
      </c>
      <c r="C89" s="3">
        <v>23517</v>
      </c>
      <c r="D89" s="3">
        <v>23470</v>
      </c>
      <c r="E89" s="2">
        <v>99.8</v>
      </c>
      <c r="F89" s="3">
        <v>15926</v>
      </c>
      <c r="G89" s="2">
        <v>67.72</v>
      </c>
      <c r="H89" s="3">
        <v>22721</v>
      </c>
      <c r="I89" s="2">
        <v>96.62</v>
      </c>
      <c r="J89" s="3">
        <v>22938</v>
      </c>
      <c r="K89" s="2">
        <v>97.54</v>
      </c>
      <c r="L89" s="3">
        <v>23511</v>
      </c>
      <c r="M89" s="2">
        <v>99.97</v>
      </c>
      <c r="N89" s="3">
        <v>22750</v>
      </c>
      <c r="O89" s="2">
        <v>96.74</v>
      </c>
    </row>
    <row r="90" spans="1:15">
      <c r="A90" s="1" t="s">
        <v>75</v>
      </c>
      <c r="B90" s="2" t="s">
        <v>18</v>
      </c>
      <c r="C90" s="3">
        <v>17826</v>
      </c>
      <c r="D90" s="3">
        <v>17750</v>
      </c>
      <c r="E90" s="2">
        <v>99.57</v>
      </c>
      <c r="F90" s="3">
        <v>8683</v>
      </c>
      <c r="G90" s="2">
        <v>48.71</v>
      </c>
      <c r="H90" s="3">
        <v>8460</v>
      </c>
      <c r="I90" s="2">
        <v>47.46</v>
      </c>
      <c r="J90" s="3">
        <v>17771</v>
      </c>
      <c r="K90" s="2">
        <v>99.69</v>
      </c>
      <c r="L90" s="3">
        <v>17826</v>
      </c>
      <c r="M90" s="2">
        <v>100</v>
      </c>
      <c r="N90" s="3">
        <v>17682</v>
      </c>
      <c r="O90" s="2">
        <v>99.19</v>
      </c>
    </row>
    <row r="91" spans="1:15">
      <c r="A91" s="1" t="s">
        <v>75</v>
      </c>
      <c r="B91" s="2" t="s">
        <v>19</v>
      </c>
      <c r="C91" s="3">
        <v>24296</v>
      </c>
      <c r="D91" s="3">
        <v>22114</v>
      </c>
      <c r="E91" s="2">
        <v>91.02</v>
      </c>
      <c r="F91" s="3">
        <v>11016</v>
      </c>
      <c r="G91" s="2">
        <v>45.34</v>
      </c>
      <c r="H91" s="3">
        <v>10055</v>
      </c>
      <c r="I91" s="2">
        <v>41.39</v>
      </c>
      <c r="J91" s="3">
        <v>18000</v>
      </c>
      <c r="K91" s="2">
        <v>74.09</v>
      </c>
      <c r="L91" s="3">
        <v>24149</v>
      </c>
      <c r="M91" s="2">
        <v>99.39</v>
      </c>
      <c r="N91" s="3">
        <v>20033</v>
      </c>
      <c r="O91" s="2">
        <v>82.45</v>
      </c>
    </row>
    <row r="92" spans="1:15">
      <c r="A92" s="1" t="s">
        <v>75</v>
      </c>
      <c r="B92" s="2" t="s">
        <v>20</v>
      </c>
      <c r="C92" s="3">
        <v>44475</v>
      </c>
      <c r="D92" s="3">
        <v>42343</v>
      </c>
      <c r="E92" s="2">
        <v>95.21</v>
      </c>
      <c r="F92" s="3">
        <v>23435</v>
      </c>
      <c r="G92" s="2">
        <v>52.69</v>
      </c>
      <c r="H92" s="3">
        <v>33472</v>
      </c>
      <c r="I92" s="2">
        <v>75.260000000000005</v>
      </c>
      <c r="J92" s="3">
        <v>42258</v>
      </c>
      <c r="K92" s="2">
        <v>95.02</v>
      </c>
      <c r="L92" s="3">
        <v>43863</v>
      </c>
      <c r="M92" s="2">
        <v>98.62</v>
      </c>
      <c r="N92" s="3">
        <v>42950</v>
      </c>
      <c r="O92" s="2">
        <v>96.57</v>
      </c>
    </row>
    <row r="93" spans="1:15">
      <c r="A93" s="1" t="s">
        <v>75</v>
      </c>
      <c r="B93" s="2" t="s">
        <v>21</v>
      </c>
      <c r="C93" s="3">
        <v>75869</v>
      </c>
      <c r="D93" s="3">
        <v>75129</v>
      </c>
      <c r="E93" s="2">
        <v>99.02</v>
      </c>
      <c r="F93" s="3">
        <v>37327</v>
      </c>
      <c r="G93" s="2">
        <v>49.2</v>
      </c>
      <c r="H93" s="3">
        <v>40121</v>
      </c>
      <c r="I93" s="2">
        <v>52.88</v>
      </c>
      <c r="J93" s="3">
        <v>74560</v>
      </c>
      <c r="K93" s="2">
        <v>98.27</v>
      </c>
      <c r="L93" s="3">
        <v>75777</v>
      </c>
      <c r="M93" s="2">
        <v>99.88</v>
      </c>
      <c r="N93" s="3">
        <v>74332</v>
      </c>
      <c r="O93" s="2">
        <v>97.97</v>
      </c>
    </row>
    <row r="94" spans="1:15">
      <c r="A94" s="1" t="s">
        <v>75</v>
      </c>
      <c r="B94" s="2" t="s">
        <v>22</v>
      </c>
      <c r="C94" s="3">
        <v>15864</v>
      </c>
      <c r="D94" s="3">
        <v>15852</v>
      </c>
      <c r="E94" s="2">
        <v>99.92</v>
      </c>
      <c r="F94" s="3">
        <v>14616</v>
      </c>
      <c r="G94" s="2">
        <v>92.13</v>
      </c>
      <c r="H94" s="3">
        <v>15774</v>
      </c>
      <c r="I94" s="2">
        <v>99.43</v>
      </c>
      <c r="J94" s="3">
        <v>15681</v>
      </c>
      <c r="K94" s="2">
        <v>98.85</v>
      </c>
      <c r="L94" s="3">
        <v>15850</v>
      </c>
      <c r="M94" s="2">
        <v>99.91</v>
      </c>
      <c r="N94" s="3">
        <v>15748</v>
      </c>
      <c r="O94" s="2">
        <v>99.27</v>
      </c>
    </row>
    <row r="95" spans="1:15">
      <c r="A95" s="1" t="s">
        <v>75</v>
      </c>
      <c r="B95" s="2" t="s">
        <v>23</v>
      </c>
      <c r="C95" s="2">
        <v>995</v>
      </c>
      <c r="D95" s="2">
        <v>791</v>
      </c>
      <c r="E95" s="2">
        <v>79.5</v>
      </c>
      <c r="F95" s="2">
        <v>455</v>
      </c>
      <c r="G95" s="2">
        <v>45.73</v>
      </c>
      <c r="H95" s="2">
        <v>527</v>
      </c>
      <c r="I95" s="2">
        <v>52.96</v>
      </c>
      <c r="J95" s="2">
        <v>951</v>
      </c>
      <c r="K95" s="2">
        <v>95.58</v>
      </c>
      <c r="L95" s="2">
        <v>955</v>
      </c>
      <c r="M95" s="2">
        <v>95.98</v>
      </c>
      <c r="N95" s="2">
        <v>863</v>
      </c>
      <c r="O95" s="2">
        <v>86.73</v>
      </c>
    </row>
    <row r="96" spans="1:15">
      <c r="A96" s="1" t="s">
        <v>75</v>
      </c>
      <c r="B96" s="2" t="s">
        <v>24</v>
      </c>
      <c r="C96" s="2">
        <v>37</v>
      </c>
      <c r="D96" s="2">
        <v>37</v>
      </c>
      <c r="E96" s="2">
        <v>100</v>
      </c>
      <c r="F96" s="2">
        <v>37</v>
      </c>
      <c r="G96" s="2">
        <v>100</v>
      </c>
      <c r="H96" s="2">
        <v>37</v>
      </c>
      <c r="I96" s="2">
        <v>100</v>
      </c>
      <c r="J96" s="2">
        <v>37</v>
      </c>
      <c r="K96" s="2">
        <v>100</v>
      </c>
      <c r="L96" s="2">
        <v>37</v>
      </c>
      <c r="M96" s="2">
        <v>100</v>
      </c>
      <c r="N96" s="2">
        <v>37</v>
      </c>
      <c r="O96" s="2">
        <v>100</v>
      </c>
    </row>
    <row r="97" spans="1:15">
      <c r="A97" s="1" t="s">
        <v>75</v>
      </c>
      <c r="B97" s="2" t="s">
        <v>25</v>
      </c>
      <c r="C97" s="3">
        <v>123412</v>
      </c>
      <c r="D97" s="3">
        <v>110784</v>
      </c>
      <c r="E97" s="2">
        <v>89.77</v>
      </c>
      <c r="F97" s="3">
        <v>53376</v>
      </c>
      <c r="G97" s="2">
        <v>43.25</v>
      </c>
      <c r="H97" s="3">
        <v>60784</v>
      </c>
      <c r="I97" s="2">
        <v>49.25</v>
      </c>
      <c r="J97" s="3">
        <v>121496</v>
      </c>
      <c r="K97" s="2">
        <v>98.45</v>
      </c>
      <c r="L97" s="3">
        <v>122746</v>
      </c>
      <c r="M97" s="2">
        <v>99.46</v>
      </c>
      <c r="N97" s="3">
        <v>109090</v>
      </c>
      <c r="O97" s="2">
        <v>88.39</v>
      </c>
    </row>
    <row r="98" spans="1:15">
      <c r="A98" s="1" t="s">
        <v>75</v>
      </c>
      <c r="B98" s="2" t="s">
        <v>26</v>
      </c>
      <c r="C98" s="3">
        <v>108237</v>
      </c>
      <c r="D98" s="3">
        <v>102393</v>
      </c>
      <c r="E98" s="2">
        <v>94.6</v>
      </c>
      <c r="F98" s="3">
        <v>73073</v>
      </c>
      <c r="G98" s="2">
        <v>67.510000000000005</v>
      </c>
      <c r="H98" s="3">
        <v>88203</v>
      </c>
      <c r="I98" s="2">
        <v>81.489999999999995</v>
      </c>
      <c r="J98" s="3">
        <v>106598</v>
      </c>
      <c r="K98" s="2">
        <v>98.49</v>
      </c>
      <c r="L98" s="3">
        <v>107686</v>
      </c>
      <c r="M98" s="2">
        <v>99.49</v>
      </c>
      <c r="N98" s="3">
        <v>101239</v>
      </c>
      <c r="O98" s="2">
        <v>93.53</v>
      </c>
    </row>
    <row r="99" spans="1:15">
      <c r="A99" s="1" t="s">
        <v>75</v>
      </c>
      <c r="B99" s="2" t="s">
        <v>27</v>
      </c>
      <c r="C99" s="3">
        <v>4646</v>
      </c>
      <c r="D99" s="3">
        <v>3143</v>
      </c>
      <c r="E99" s="2">
        <v>67.650000000000006</v>
      </c>
      <c r="F99" s="3">
        <v>1499</v>
      </c>
      <c r="G99" s="2">
        <v>32.26</v>
      </c>
      <c r="H99" s="3">
        <v>1556</v>
      </c>
      <c r="I99" s="2">
        <v>33.49</v>
      </c>
      <c r="J99" s="3">
        <v>1274</v>
      </c>
      <c r="K99" s="2">
        <v>27.42</v>
      </c>
      <c r="L99" s="3">
        <v>4634</v>
      </c>
      <c r="M99" s="2">
        <v>99.74</v>
      </c>
      <c r="N99" s="3">
        <v>3455</v>
      </c>
      <c r="O99" s="2">
        <v>74.37</v>
      </c>
    </row>
    <row r="100" spans="1:15">
      <c r="A100" s="1" t="s">
        <v>75</v>
      </c>
      <c r="B100" s="2" t="s">
        <v>28</v>
      </c>
      <c r="C100" s="3">
        <v>14601</v>
      </c>
      <c r="D100" s="3">
        <v>4284</v>
      </c>
      <c r="E100" s="2">
        <v>29.34</v>
      </c>
      <c r="F100" s="3">
        <v>3580</v>
      </c>
      <c r="G100" s="2">
        <v>24.52</v>
      </c>
      <c r="H100" s="3">
        <v>2751</v>
      </c>
      <c r="I100" s="2">
        <v>18.84</v>
      </c>
      <c r="J100" s="3">
        <v>4067</v>
      </c>
      <c r="K100" s="2">
        <v>27.85</v>
      </c>
      <c r="L100" s="3">
        <v>8242</v>
      </c>
      <c r="M100" s="2">
        <v>56.45</v>
      </c>
      <c r="N100" s="3">
        <v>10173</v>
      </c>
      <c r="O100" s="2">
        <v>69.67</v>
      </c>
    </row>
    <row r="101" spans="1:15">
      <c r="A101" s="1" t="s">
        <v>75</v>
      </c>
      <c r="B101" s="2" t="s">
        <v>29</v>
      </c>
      <c r="C101" s="3">
        <v>3941</v>
      </c>
      <c r="D101" s="3">
        <v>3437</v>
      </c>
      <c r="E101" s="2">
        <v>87.21</v>
      </c>
      <c r="F101" s="2">
        <v>982</v>
      </c>
      <c r="G101" s="2">
        <v>24.92</v>
      </c>
      <c r="H101" s="3">
        <v>1836</v>
      </c>
      <c r="I101" s="2">
        <v>46.59</v>
      </c>
      <c r="J101" s="3">
        <v>3189</v>
      </c>
      <c r="K101" s="2">
        <v>80.92</v>
      </c>
      <c r="L101" s="3">
        <v>3597</v>
      </c>
      <c r="M101" s="2">
        <v>91.27</v>
      </c>
      <c r="N101" s="3">
        <v>3189</v>
      </c>
      <c r="O101" s="2">
        <v>80.92</v>
      </c>
    </row>
    <row r="102" spans="1:15">
      <c r="A102" s="1" t="s">
        <v>75</v>
      </c>
      <c r="B102" s="2" t="s">
        <v>30</v>
      </c>
      <c r="C102" s="3">
        <v>2725</v>
      </c>
      <c r="D102" s="3">
        <v>2208</v>
      </c>
      <c r="E102" s="2">
        <v>81.03</v>
      </c>
      <c r="F102" s="3">
        <v>1535</v>
      </c>
      <c r="G102" s="2">
        <v>56.33</v>
      </c>
      <c r="H102" s="3">
        <v>2296</v>
      </c>
      <c r="I102" s="2">
        <v>84.26</v>
      </c>
      <c r="J102" s="3">
        <v>2114</v>
      </c>
      <c r="K102" s="2">
        <v>77.58</v>
      </c>
      <c r="L102" s="3">
        <v>1949</v>
      </c>
      <c r="M102" s="2">
        <v>71.52</v>
      </c>
      <c r="N102" s="3">
        <v>2132</v>
      </c>
      <c r="O102" s="2">
        <v>78.239999999999995</v>
      </c>
    </row>
    <row r="103" spans="1:15">
      <c r="A103" s="1" t="s">
        <v>75</v>
      </c>
      <c r="B103" s="2" t="s">
        <v>31</v>
      </c>
      <c r="C103" s="3">
        <v>61693</v>
      </c>
      <c r="D103" s="3">
        <v>59511</v>
      </c>
      <c r="E103" s="2">
        <v>96.46</v>
      </c>
      <c r="F103" s="3">
        <v>50582</v>
      </c>
      <c r="G103" s="2">
        <v>81.99</v>
      </c>
      <c r="H103" s="3">
        <v>36628</v>
      </c>
      <c r="I103" s="2">
        <v>59.37</v>
      </c>
      <c r="J103" s="3">
        <v>61478</v>
      </c>
      <c r="K103" s="2">
        <v>99.65</v>
      </c>
      <c r="L103" s="3">
        <v>61685</v>
      </c>
      <c r="M103" s="2">
        <v>99.99</v>
      </c>
      <c r="N103" s="3">
        <v>60582</v>
      </c>
      <c r="O103" s="2">
        <v>98.2</v>
      </c>
    </row>
    <row r="104" spans="1:15">
      <c r="A104" s="1" t="s">
        <v>75</v>
      </c>
      <c r="B104" s="2" t="s">
        <v>32</v>
      </c>
      <c r="C104" s="2">
        <v>735</v>
      </c>
      <c r="D104" s="2">
        <v>735</v>
      </c>
      <c r="E104" s="2">
        <v>100</v>
      </c>
      <c r="F104" s="2">
        <v>735</v>
      </c>
      <c r="G104" s="2">
        <v>100</v>
      </c>
      <c r="H104" s="2">
        <v>735</v>
      </c>
      <c r="I104" s="2">
        <v>100</v>
      </c>
      <c r="J104" s="2">
        <v>735</v>
      </c>
      <c r="K104" s="2">
        <v>100</v>
      </c>
      <c r="L104" s="2">
        <v>735</v>
      </c>
      <c r="M104" s="2">
        <v>100</v>
      </c>
      <c r="N104" s="2">
        <v>709</v>
      </c>
      <c r="O104" s="2">
        <v>96.46</v>
      </c>
    </row>
    <row r="105" spans="1:15">
      <c r="A105" s="1" t="s">
        <v>75</v>
      </c>
      <c r="B105" s="2" t="s">
        <v>33</v>
      </c>
      <c r="C105" s="3">
        <v>27404</v>
      </c>
      <c r="D105" s="3">
        <v>27390</v>
      </c>
      <c r="E105" s="2">
        <v>99.95</v>
      </c>
      <c r="F105" s="3">
        <v>20274</v>
      </c>
      <c r="G105" s="2">
        <v>73.98</v>
      </c>
      <c r="H105" s="3">
        <v>27073</v>
      </c>
      <c r="I105" s="2">
        <v>98.79</v>
      </c>
      <c r="J105" s="3">
        <v>26981</v>
      </c>
      <c r="K105" s="2">
        <v>98.46</v>
      </c>
      <c r="L105" s="3">
        <v>27381</v>
      </c>
      <c r="M105" s="2">
        <v>99.92</v>
      </c>
      <c r="N105" s="3">
        <v>26728</v>
      </c>
      <c r="O105" s="2">
        <v>97.53</v>
      </c>
    </row>
    <row r="106" spans="1:15">
      <c r="A106" s="1" t="s">
        <v>75</v>
      </c>
      <c r="B106" s="2" t="s">
        <v>34</v>
      </c>
      <c r="C106" s="3">
        <v>107757</v>
      </c>
      <c r="D106" s="3">
        <v>98443</v>
      </c>
      <c r="E106" s="2">
        <v>91.36</v>
      </c>
      <c r="F106" s="3">
        <v>73634</v>
      </c>
      <c r="G106" s="2">
        <v>68.33</v>
      </c>
      <c r="H106" s="3">
        <v>55593</v>
      </c>
      <c r="I106" s="2">
        <v>51.59</v>
      </c>
      <c r="J106" s="3">
        <v>84684</v>
      </c>
      <c r="K106" s="2">
        <v>78.59</v>
      </c>
      <c r="L106" s="3">
        <v>105157</v>
      </c>
      <c r="M106" s="2">
        <v>97.59</v>
      </c>
      <c r="N106" s="3">
        <v>93540</v>
      </c>
      <c r="O106" s="2">
        <v>86.81</v>
      </c>
    </row>
    <row r="107" spans="1:15">
      <c r="A107" s="1" t="s">
        <v>75</v>
      </c>
      <c r="B107" s="2" t="s">
        <v>35</v>
      </c>
      <c r="C107" s="3">
        <v>1254</v>
      </c>
      <c r="D107" s="3">
        <v>1239</v>
      </c>
      <c r="E107" s="2">
        <v>98.8</v>
      </c>
      <c r="F107" s="2">
        <v>587</v>
      </c>
      <c r="G107" s="2">
        <v>46.81</v>
      </c>
      <c r="H107" s="3">
        <v>1152</v>
      </c>
      <c r="I107" s="2">
        <v>91.87</v>
      </c>
      <c r="J107" s="3">
        <v>1121</v>
      </c>
      <c r="K107" s="2">
        <v>89.39</v>
      </c>
      <c r="L107" s="3">
        <v>1249</v>
      </c>
      <c r="M107" s="2">
        <v>99.6</v>
      </c>
      <c r="N107" s="3">
        <v>1146</v>
      </c>
      <c r="O107" s="2">
        <v>91.39</v>
      </c>
    </row>
    <row r="108" spans="1:15">
      <c r="A108" s="1" t="s">
        <v>75</v>
      </c>
      <c r="B108" s="2" t="s">
        <v>36</v>
      </c>
      <c r="C108" s="3">
        <v>58722</v>
      </c>
      <c r="D108" s="3">
        <v>58106</v>
      </c>
      <c r="E108" s="2">
        <v>98.95</v>
      </c>
      <c r="F108" s="3">
        <v>58106</v>
      </c>
      <c r="G108" s="2">
        <v>98.95</v>
      </c>
      <c r="H108" s="3">
        <v>42686</v>
      </c>
      <c r="I108" s="2">
        <v>72.69</v>
      </c>
      <c r="J108" s="3">
        <v>58106</v>
      </c>
      <c r="K108" s="2">
        <v>98.95</v>
      </c>
      <c r="L108" s="3">
        <v>58106</v>
      </c>
      <c r="M108" s="2">
        <v>98.95</v>
      </c>
      <c r="N108" s="3">
        <v>55458</v>
      </c>
      <c r="O108" s="2">
        <v>94.44</v>
      </c>
    </row>
    <row r="109" spans="1:15">
      <c r="A109" s="1" t="s">
        <v>75</v>
      </c>
      <c r="B109" s="2" t="s">
        <v>37</v>
      </c>
      <c r="C109" s="3">
        <v>42901</v>
      </c>
      <c r="D109" s="3">
        <v>40836</v>
      </c>
      <c r="E109" s="2">
        <v>95.19</v>
      </c>
      <c r="F109" s="3">
        <v>17114</v>
      </c>
      <c r="G109" s="2">
        <v>39.89</v>
      </c>
      <c r="H109" s="3">
        <v>33434</v>
      </c>
      <c r="I109" s="2">
        <v>77.930000000000007</v>
      </c>
      <c r="J109" s="3">
        <v>39874</v>
      </c>
      <c r="K109" s="2">
        <v>92.94</v>
      </c>
      <c r="L109" s="3">
        <v>41800</v>
      </c>
      <c r="M109" s="2">
        <v>97.43</v>
      </c>
      <c r="N109" s="3">
        <v>37777</v>
      </c>
      <c r="O109" s="2">
        <v>88.06</v>
      </c>
    </row>
    <row r="110" spans="1:15">
      <c r="A110" s="1" t="s">
        <v>75</v>
      </c>
      <c r="B110" s="2" t="s">
        <v>38</v>
      </c>
      <c r="C110" s="3">
        <v>4923</v>
      </c>
      <c r="D110" s="3">
        <v>3899</v>
      </c>
      <c r="E110" s="2">
        <v>79.2</v>
      </c>
      <c r="F110" s="3">
        <v>1736</v>
      </c>
      <c r="G110" s="2">
        <v>35.26</v>
      </c>
      <c r="H110" s="3">
        <v>2427</v>
      </c>
      <c r="I110" s="2">
        <v>49.3</v>
      </c>
      <c r="J110" s="3">
        <v>3825</v>
      </c>
      <c r="K110" s="2">
        <v>77.7</v>
      </c>
      <c r="L110" s="3">
        <v>4603</v>
      </c>
      <c r="M110" s="2">
        <v>93.5</v>
      </c>
      <c r="N110" s="3">
        <v>3652</v>
      </c>
      <c r="O110" s="2">
        <v>74.180000000000007</v>
      </c>
    </row>
    <row r="111" spans="1:15">
      <c r="A111" s="1" t="s">
        <v>75</v>
      </c>
      <c r="B111" s="2" t="s">
        <v>39</v>
      </c>
      <c r="C111" s="3">
        <v>255087</v>
      </c>
      <c r="D111" s="3">
        <v>220366</v>
      </c>
      <c r="E111" s="2">
        <v>86.39</v>
      </c>
      <c r="F111" s="3">
        <v>98346</v>
      </c>
      <c r="G111" s="2">
        <v>38.549999999999997</v>
      </c>
      <c r="H111" s="3">
        <v>102539</v>
      </c>
      <c r="I111" s="2">
        <v>40.200000000000003</v>
      </c>
      <c r="J111" s="3">
        <v>209357</v>
      </c>
      <c r="K111" s="2">
        <v>82.07</v>
      </c>
      <c r="L111" s="3">
        <v>253303</v>
      </c>
      <c r="M111" s="2">
        <v>99.3</v>
      </c>
      <c r="N111" s="3">
        <v>240295</v>
      </c>
      <c r="O111" s="2">
        <v>94.2</v>
      </c>
    </row>
    <row r="112" spans="1:15">
      <c r="A112" s="1" t="s">
        <v>75</v>
      </c>
      <c r="B112" s="2" t="s">
        <v>40</v>
      </c>
      <c r="C112" s="3">
        <v>22551</v>
      </c>
      <c r="D112" s="3">
        <v>20818</v>
      </c>
      <c r="E112" s="2">
        <v>92.32</v>
      </c>
      <c r="F112" s="3">
        <v>15456</v>
      </c>
      <c r="G112" s="2">
        <v>68.540000000000006</v>
      </c>
      <c r="H112" s="3">
        <v>19518</v>
      </c>
      <c r="I112" s="2">
        <v>86.55</v>
      </c>
      <c r="J112" s="3">
        <v>21946</v>
      </c>
      <c r="K112" s="2">
        <v>97.32</v>
      </c>
      <c r="L112" s="3">
        <v>21958</v>
      </c>
      <c r="M112" s="2">
        <v>97.37</v>
      </c>
      <c r="N112" s="3">
        <v>19596</v>
      </c>
      <c r="O112" s="2">
        <v>86.9</v>
      </c>
    </row>
    <row r="113" spans="1:15">
      <c r="A113" s="1" t="s">
        <v>75</v>
      </c>
      <c r="B113" s="2" t="s">
        <v>41</v>
      </c>
      <c r="C113" s="3">
        <v>93945</v>
      </c>
      <c r="D113" s="3">
        <v>92071</v>
      </c>
      <c r="E113" s="2">
        <v>98.01</v>
      </c>
      <c r="F113" s="3">
        <v>16414</v>
      </c>
      <c r="G113" s="2">
        <v>17.47</v>
      </c>
      <c r="H113" s="3">
        <v>20958</v>
      </c>
      <c r="I113" s="2">
        <v>22.31</v>
      </c>
      <c r="J113" s="3">
        <v>84784</v>
      </c>
      <c r="K113" s="2">
        <v>90.25</v>
      </c>
      <c r="L113" s="3">
        <v>93573</v>
      </c>
      <c r="M113" s="2">
        <v>99.6</v>
      </c>
      <c r="N113" s="3">
        <v>92836</v>
      </c>
      <c r="O113" s="2">
        <v>98.82</v>
      </c>
    </row>
  </sheetData>
  <mergeCells count="1">
    <mergeCell ref="A1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3450-FD47-4935-968C-3F827DE95E32}">
  <dimension ref="A1:I6"/>
  <sheetViews>
    <sheetView workbookViewId="0">
      <selection activeCell="E15" sqref="E15"/>
    </sheetView>
  </sheetViews>
  <sheetFormatPr defaultRowHeight="15"/>
  <cols>
    <col min="2" max="2" width="14.28515625" bestFit="1" customWidth="1"/>
    <col min="3" max="3" width="14" bestFit="1" customWidth="1"/>
    <col min="4" max="4" width="12" bestFit="1" customWidth="1"/>
    <col min="5" max="5" width="11.7109375" bestFit="1" customWidth="1"/>
    <col min="6" max="6" width="14.140625" bestFit="1" customWidth="1"/>
    <col min="7" max="7" width="25.42578125" bestFit="1" customWidth="1"/>
    <col min="8" max="8" width="19.140625" bestFit="1" customWidth="1"/>
  </cols>
  <sheetData>
    <row r="1" spans="1:9">
      <c r="A1" s="39" t="s">
        <v>76</v>
      </c>
      <c r="B1" s="39"/>
      <c r="C1" s="39"/>
      <c r="D1" s="39"/>
      <c r="E1" s="39"/>
      <c r="F1" s="39"/>
      <c r="G1" s="39"/>
      <c r="H1" s="39"/>
    </row>
    <row r="2" spans="1:9">
      <c r="A2" s="39"/>
      <c r="B2" s="39"/>
      <c r="C2" s="39"/>
      <c r="D2" s="39"/>
      <c r="E2" s="39"/>
      <c r="F2" s="39"/>
      <c r="G2" s="39"/>
      <c r="H2" s="39"/>
    </row>
    <row r="3" spans="1:9" ht="15.75">
      <c r="A3" s="37" t="s">
        <v>1</v>
      </c>
      <c r="B3" s="37" t="s">
        <v>0</v>
      </c>
      <c r="C3" s="37" t="s">
        <v>102</v>
      </c>
      <c r="D3" s="37" t="s">
        <v>103</v>
      </c>
      <c r="E3" s="37" t="s">
        <v>104</v>
      </c>
      <c r="F3" s="37" t="s">
        <v>105</v>
      </c>
      <c r="G3" s="37" t="s">
        <v>106</v>
      </c>
      <c r="H3" s="37" t="s">
        <v>107</v>
      </c>
      <c r="I3" s="4"/>
    </row>
    <row r="4" spans="1:9">
      <c r="A4" s="5" t="s">
        <v>70</v>
      </c>
      <c r="B4" s="38">
        <v>1489115</v>
      </c>
      <c r="C4" s="5">
        <v>10.48</v>
      </c>
      <c r="D4" s="5">
        <v>33.909999999999997</v>
      </c>
      <c r="E4" s="5">
        <v>10.48</v>
      </c>
      <c r="F4" s="5">
        <v>98.22</v>
      </c>
      <c r="G4" s="5">
        <v>93.9</v>
      </c>
      <c r="H4" s="5">
        <v>98.22</v>
      </c>
      <c r="I4" s="4"/>
    </row>
    <row r="5" spans="1:9">
      <c r="A5" s="5" t="s">
        <v>74</v>
      </c>
      <c r="B5" s="38">
        <v>1466109</v>
      </c>
      <c r="C5" s="5">
        <v>47.75</v>
      </c>
      <c r="D5" s="5">
        <v>49.66</v>
      </c>
      <c r="E5" s="5">
        <v>88.28</v>
      </c>
      <c r="F5" s="5">
        <v>91.73</v>
      </c>
      <c r="G5" s="5">
        <v>92.51</v>
      </c>
      <c r="H5" s="5">
        <v>98.4</v>
      </c>
      <c r="I5" s="4"/>
    </row>
    <row r="6" spans="1:9">
      <c r="A6" s="5" t="s">
        <v>75</v>
      </c>
      <c r="B6" s="38">
        <v>1471891</v>
      </c>
      <c r="C6" s="5">
        <v>57.16</v>
      </c>
      <c r="D6" s="5">
        <v>53.88</v>
      </c>
      <c r="E6" s="5">
        <v>89.02</v>
      </c>
      <c r="F6" s="5">
        <v>91.77</v>
      </c>
      <c r="G6" s="5">
        <v>92.86</v>
      </c>
      <c r="H6" s="5">
        <v>98.33</v>
      </c>
      <c r="I6" s="4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Tanisha Sahani</cp:lastModifiedBy>
  <cp:revision/>
  <dcterms:created xsi:type="dcterms:W3CDTF">2026-10-02T18:54:13Z</dcterms:created>
  <dcterms:modified xsi:type="dcterms:W3CDTF">2026-10-03T16:20:30Z</dcterms:modified>
  <cp:category/>
  <cp:contentStatus/>
</cp:coreProperties>
</file>